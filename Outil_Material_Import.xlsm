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Sauvegarde machine atelier\Matériaux\Travail\"/>
    </mc:Choice>
  </mc:AlternateContent>
  <xr:revisionPtr revIDLastSave="0" documentId="13_ncr:1_{146D082B-07EF-4715-A1D3-CF337B9AD887}" xr6:coauthVersionLast="47" xr6:coauthVersionMax="47" xr10:uidLastSave="{00000000-0000-0000-0000-000000000000}"/>
  <bookViews>
    <workbookView xWindow="6630" yWindow="6630" windowWidth="43200" windowHeight="23325" tabRatio="526" xr2:uid="{00000000-000D-0000-FFFF-FFFF00000000}"/>
  </bookViews>
  <sheets>
    <sheet name="Materials" sheetId="1" r:id="rId1"/>
    <sheet name="EdgeBands" sheetId="2" r:id="rId2"/>
  </sheets>
  <externalReferences>
    <externalReference r:id="rId3"/>
  </externalReferences>
  <definedNames>
    <definedName name="XML_TP_FULLPATH">Materials!$G$1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563" i="1" l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</calcChain>
</file>

<file path=xl/sharedStrings.xml><?xml version="1.0" encoding="utf-8"?>
<sst xmlns="http://schemas.openxmlformats.org/spreadsheetml/2006/main" count="5309" uniqueCount="1444">
  <si>
    <t>&lt;?xml version="1.0" encoding="utf-8"?&gt;</t>
  </si>
  <si>
    <t>XML File to generate:</t>
  </si>
  <si>
    <t>Z:\Sauvegarde machine atelier\Matériaux\Import Swood materiaux.xml</t>
  </si>
  <si>
    <t>&lt;SWOODMat xmlns:xsd="http://www.w3.org/2001/XMLSchema" xmlns:xsi="http://www.w3.org/2001/XMLSchema-instance" Version="2" xmlns="http://www.eficad.com//SWOODMat"&gt;</t>
  </si>
  <si>
    <t>Layers</t>
  </si>
  <si>
    <t>Layer</t>
  </si>
  <si>
    <t>/Layer</t>
  </si>
  <si>
    <t>/Layers</t>
  </si>
  <si>
    <t>Properties</t>
  </si>
  <si>
    <t>Property</t>
  </si>
  <si>
    <t>/Properties</t>
  </si>
  <si>
    <t>Name</t>
  </si>
  <si>
    <t>Description</t>
  </si>
  <si>
    <t>Path</t>
  </si>
  <si>
    <t>Thickness</t>
  </si>
  <si>
    <t>FiberMaterial</t>
  </si>
  <si>
    <t>Cost</t>
  </si>
  <si>
    <t>Density</t>
  </si>
  <si>
    <t>Color</t>
  </si>
  <si>
    <t>Transparency</t>
  </si>
  <si>
    <t>Texture</t>
  </si>
  <si>
    <t>TextureDirection</t>
  </si>
  <si>
    <t>SawStock</t>
  </si>
  <si>
    <t>SawReference</t>
  </si>
  <si>
    <t>SawFiber</t>
  </si>
  <si>
    <t>FiberSpeedFactor</t>
  </si>
  <si>
    <t>FiberAngleCorrection</t>
  </si>
  <si>
    <t>MaterialType</t>
  </si>
  <si>
    <t>MaterialCostingType</t>
  </si>
  <si>
    <t>TopColor</t>
  </si>
  <si>
    <t>TopTexture</t>
  </si>
  <si>
    <t>TopTextureAngle</t>
  </si>
  <si>
    <t>TopTextureImageDirection</t>
  </si>
  <si>
    <t>BottomColor</t>
  </si>
  <si>
    <t>BottomTexture</t>
  </si>
  <si>
    <t>BottomTextureAngle</t>
  </si>
  <si>
    <t>BottomTextureImageDirection</t>
  </si>
  <si>
    <t>EndTexture</t>
  </si>
  <si>
    <t>SWMaterial</t>
  </si>
  <si>
    <t>Image</t>
  </si>
  <si>
    <t>EdgeBandList</t>
  </si>
  <si>
    <t>LaminateImpactOnPanelThickness</t>
  </si>
  <si>
    <t>AllowThicknessCalibration</t>
  </si>
  <si>
    <t>MinThicknessCalibration</t>
  </si>
  <si>
    <t>MachiningCostFactor</t>
  </si>
  <si>
    <t>SWTextureHeight</t>
  </si>
  <si>
    <t>TopTextureHeight</t>
  </si>
  <si>
    <t>BottomTextureHeight</t>
  </si>
  <si>
    <t>MaterialName</t>
  </si>
  <si>
    <t>GrainDirectionFromMain</t>
  </si>
  <si>
    <t>StockOffset</t>
  </si>
  <si>
    <t>BOARDL</t>
  </si>
  <si>
    <t>BOARDW</t>
  </si>
  <si>
    <t>Reference Fournisseur</t>
  </si>
  <si>
    <t>Fournisseur</t>
  </si>
  <si>
    <t>Finish</t>
  </si>
  <si>
    <t>Glass</t>
  </si>
  <si>
    <t>Melamine-F186-Beton Chicago gris clair-ST9</t>
  </si>
  <si>
    <t>Melamine 19 mm</t>
  </si>
  <si>
    <t>255,255,255</t>
  </si>
  <si>
    <t>F186.jpg</t>
  </si>
  <si>
    <t>MainPanel</t>
  </si>
  <si>
    <t>Surface</t>
  </si>
  <si>
    <t>F186-Beton Chicago gris clair-ST9</t>
  </si>
  <si>
    <t>F186 ST9 - 1 mm</t>
  </si>
  <si>
    <t>NaN</t>
  </si>
  <si>
    <t>Dispano</t>
  </si>
  <si>
    <t>Melamine-F187-Beton Chicago gris fonce-ST9</t>
  </si>
  <si>
    <t>F187.jpg</t>
  </si>
  <si>
    <t>F187-Beton Chicago gris fonce-ST9</t>
  </si>
  <si>
    <t>F187 ST9 - 1 mm</t>
  </si>
  <si>
    <t>Melamine-F206-Pietra Grigia noir-ST9</t>
  </si>
  <si>
    <t>F206.jpg</t>
  </si>
  <si>
    <t>F206-Pietra Grigia noir-ST9</t>
  </si>
  <si>
    <t>F206 ST9 - 1 mm</t>
  </si>
  <si>
    <t>Melamine-F235-Ardoise Scivaro-ST76</t>
  </si>
  <si>
    <t>F235.jpg</t>
  </si>
  <si>
    <t>F235-Ardoise Scivaro-ST76</t>
  </si>
  <si>
    <t>F235 ST76 - 1 mm</t>
  </si>
  <si>
    <t>Melamine-F237-Ardoise Cupria-ST76</t>
  </si>
  <si>
    <t>F237.jpg</t>
  </si>
  <si>
    <t>F237-Ardoise Cupria-ST76</t>
  </si>
  <si>
    <t>F237 ST76 - 1 mm</t>
  </si>
  <si>
    <t>Melamine-F243-Marbre Candela gris clair-ST76</t>
  </si>
  <si>
    <t>F243.jpg</t>
  </si>
  <si>
    <t>F243-Marbre Candela gris clair-ST76</t>
  </si>
  <si>
    <t>F243 ST76 - 1 mm</t>
  </si>
  <si>
    <t>Melamine-F244-Marbre Candela anthracite-ST76</t>
  </si>
  <si>
    <t>F244.jpg</t>
  </si>
  <si>
    <t>F244-Marbre Candela anthracite-ST76</t>
  </si>
  <si>
    <t>F244 ST76 - 1 mm</t>
  </si>
  <si>
    <t>Melamine-F323-Cobra bronze-ST20</t>
  </si>
  <si>
    <t>F323.jpg</t>
  </si>
  <si>
    <t>F323-Cobra bronze-ST20</t>
  </si>
  <si>
    <t>F323 ST20 - 1 mm</t>
  </si>
  <si>
    <t>Melamine-F416-Textile beige-ST10</t>
  </si>
  <si>
    <t>F416.jpg</t>
  </si>
  <si>
    <t>F416-Textile beige-ST10</t>
  </si>
  <si>
    <t>F416 ST10 - 1 mm</t>
  </si>
  <si>
    <t>Melamine-F417-Textile gris-ST10</t>
  </si>
  <si>
    <t>F417.jpg</t>
  </si>
  <si>
    <t>F417-Textile gris-ST10</t>
  </si>
  <si>
    <t>F417 ST10 - 1 mm</t>
  </si>
  <si>
    <t>Melamine-F422-Lin blanc-ST10</t>
  </si>
  <si>
    <t>F422.jpg</t>
  </si>
  <si>
    <t>F422-Lin blanc-ST10</t>
  </si>
  <si>
    <t>F422 ST10 - 1 mm</t>
  </si>
  <si>
    <t>Melamine-F424-Lin taupe-ST10</t>
  </si>
  <si>
    <t>F424.jpg</t>
  </si>
  <si>
    <t>F424-Lin taupe-ST10</t>
  </si>
  <si>
    <t>F424 ST10 - 1 mm</t>
  </si>
  <si>
    <t>Melamine-F433-Lin anthracite-ST10</t>
  </si>
  <si>
    <t>F433.jpg</t>
  </si>
  <si>
    <t>F433-Lin anthracite-ST10</t>
  </si>
  <si>
    <t>F433 ST10 - 1 mm</t>
  </si>
  <si>
    <t>Melamine-F434-Acier brosse cubanite-ST20</t>
  </si>
  <si>
    <t>F434.jpg</t>
  </si>
  <si>
    <t>F434-Acier brosse cubanite-ST20</t>
  </si>
  <si>
    <t>F434 ST20 - 1 mm</t>
  </si>
  <si>
    <t>Melamine-F500-Metallic inox-ST20</t>
  </si>
  <si>
    <t>F500.jpg</t>
  </si>
  <si>
    <t>F500-Metallic inox-ST20</t>
  </si>
  <si>
    <t>F500 ST20 - 1 mm</t>
  </si>
  <si>
    <t>Melamine-F527-Metal brosse or-ST20</t>
  </si>
  <si>
    <t>F527.jpg</t>
  </si>
  <si>
    <t>F527-Metal brosse or-ST20</t>
  </si>
  <si>
    <t>F527 ST20 - 1 mm</t>
  </si>
  <si>
    <t>Melamine-F528-Metal brosse bronze-ST20</t>
  </si>
  <si>
    <t>F528.jpg</t>
  </si>
  <si>
    <t>F528-Metal brosse bronze-ST20</t>
  </si>
  <si>
    <t>F528 ST20 - 1 mm</t>
  </si>
  <si>
    <t>Melamine-F634-Canevas gris-ST76</t>
  </si>
  <si>
    <t>F634.jpg</t>
  </si>
  <si>
    <t>F634-Canevas gris-ST76</t>
  </si>
  <si>
    <t>F634 ST76 - 1 mm</t>
  </si>
  <si>
    <t>Melamine-F635-Canevas anthracite-ST76</t>
  </si>
  <si>
    <t>F635.jpg</t>
  </si>
  <si>
    <t>F635-Canevas anthracite-ST76</t>
  </si>
  <si>
    <t>F635 ST76 - 1 mm</t>
  </si>
  <si>
    <t>Melamine-F637-Chromix blanc-ST10</t>
  </si>
  <si>
    <t>F637.jpg</t>
  </si>
  <si>
    <t>F637-Chromix blanc-ST10</t>
  </si>
  <si>
    <t>F637 ST10 - 1 mm</t>
  </si>
  <si>
    <t>Melamine-F638-Chromix argent-ST10</t>
  </si>
  <si>
    <t>F638.jpg</t>
  </si>
  <si>
    <t>F638-Chromix argent-ST10</t>
  </si>
  <si>
    <t>F638 ST10 - 1 mm</t>
  </si>
  <si>
    <t>Melamine-F685-Acapulco-ST10</t>
  </si>
  <si>
    <t>F685.jpg</t>
  </si>
  <si>
    <t>F685-Acapulco-ST10</t>
  </si>
  <si>
    <t>F685 ST10 - 1 mm</t>
  </si>
  <si>
    <t>Melamine-F765-Gris argent brosse-ST20</t>
  </si>
  <si>
    <t>F765.jpg</t>
  </si>
  <si>
    <t>F765-Gris argent brosse-ST20</t>
  </si>
  <si>
    <t>F765 ST20 - 1 mm</t>
  </si>
  <si>
    <t>Melamine-F800-Marbre cristal-ST9</t>
  </si>
  <si>
    <t>F800.jpg</t>
  </si>
  <si>
    <t>F800-Marbre cristal-ST9</t>
  </si>
  <si>
    <t>F800 ST9 - 1 mm</t>
  </si>
  <si>
    <t>Melamine-F812-Marbre Levanto blanc-ST9</t>
  </si>
  <si>
    <t>F812.jpg</t>
  </si>
  <si>
    <t>F812-Marbre Levanto blanc-ST9</t>
  </si>
  <si>
    <t>F812 ST9 - 1 mm</t>
  </si>
  <si>
    <t>Melamine-H1113-Chene du Kansas marron-ST10</t>
  </si>
  <si>
    <t>H1113.jpg</t>
  </si>
  <si>
    <t>H1113-Chene du Kansas marron-ST10</t>
  </si>
  <si>
    <t>H1113 ST10 - 1 mm</t>
  </si>
  <si>
    <t>Melamine-H1142-Chene Sacramento marron-ST36</t>
  </si>
  <si>
    <t>H1142.jpg</t>
  </si>
  <si>
    <t>H1142-Chene Sacramento marron-ST36</t>
  </si>
  <si>
    <t>H1142 ST36 - 1 mm</t>
  </si>
  <si>
    <t>Melamine-H1143-Chene Sacramento gris-ST36</t>
  </si>
  <si>
    <t>H1143.jpg</t>
  </si>
  <si>
    <t>H1143-Chene Sacramento gris-ST36</t>
  </si>
  <si>
    <t>H1143 ST36 - 1 mm</t>
  </si>
  <si>
    <t>Melamine-H1145-Chene Bardolino naturel-ST10</t>
  </si>
  <si>
    <t>H1145.jpg</t>
  </si>
  <si>
    <t>H1145-Chene Bardolino naturel-ST10</t>
  </si>
  <si>
    <t>H1145 ST10 - 1 mm</t>
  </si>
  <si>
    <t>Melamine-H1176-Chene Halifax blanc-ST37</t>
  </si>
  <si>
    <t>H1176.jpg</t>
  </si>
  <si>
    <t>H1176-Chene Halifax blanc-ST37</t>
  </si>
  <si>
    <t>H1176 ST37 - 1 mm</t>
  </si>
  <si>
    <t>Melamine-H1180-Chene Halifax naturel-ST37</t>
  </si>
  <si>
    <t>H1180.jpg</t>
  </si>
  <si>
    <t>H1180-Chene Halifax naturel-ST37</t>
  </si>
  <si>
    <t>H1180 ST37 - 1 mm</t>
  </si>
  <si>
    <t>Melamine-H1181-Chene Halifax tabac-ST37</t>
  </si>
  <si>
    <t>H1181.jpg</t>
  </si>
  <si>
    <t>H1181-Chene Halifax tabac-ST37</t>
  </si>
  <si>
    <t>H1181 ST37 - 1 mm</t>
  </si>
  <si>
    <t>Melamine-H1199-Chene thermo noir-ST12</t>
  </si>
  <si>
    <t>H1199.jpg</t>
  </si>
  <si>
    <t>H1199-Chene thermo noir-ST12</t>
  </si>
  <si>
    <t>H1199 ST12 - 1 mm</t>
  </si>
  <si>
    <t>Melamine-H1223-Frene Seville-ST19</t>
  </si>
  <si>
    <t>H1223.jpg</t>
  </si>
  <si>
    <t>H1223-Frene Seville-ST19</t>
  </si>
  <si>
    <t>H1223 ST19 - 1 mm</t>
  </si>
  <si>
    <t>Melamine-H1225-Frene Trondheim-ST12</t>
  </si>
  <si>
    <t>H1225.jpg</t>
  </si>
  <si>
    <t>H1225-Frene Trondheim-ST12</t>
  </si>
  <si>
    <t>H1225 ST12 - 1 mm</t>
  </si>
  <si>
    <t>Melamine-H1242-Acacia Sheffield naturel-ST10</t>
  </si>
  <si>
    <t>H1242.jpg</t>
  </si>
  <si>
    <t>H1242-Acacia Sheffield naturel-ST10</t>
  </si>
  <si>
    <t>H1242 ST10 - 1 mm</t>
  </si>
  <si>
    <t>Melamine-H1250-Frene Navarra sable-ST36</t>
  </si>
  <si>
    <t>H1250.jpg</t>
  </si>
  <si>
    <t>H1250-Frene Navarra sable-ST36</t>
  </si>
  <si>
    <t>H1250 ST36 - 1 mm</t>
  </si>
  <si>
    <t>Melamine-H1277-Acacia de Lakeland creme-ST9</t>
  </si>
  <si>
    <t>H1277.jpg</t>
  </si>
  <si>
    <t>H1277-Acacia de Lakeland creme-ST9</t>
  </si>
  <si>
    <t>H1277 ST9 - 1 mm</t>
  </si>
  <si>
    <t>Melamine-H1303-Chene Belmont marron-ST12</t>
  </si>
  <si>
    <t>H1303.jpg</t>
  </si>
  <si>
    <t>H1303-Chene Belmont marron-ST12</t>
  </si>
  <si>
    <t>H1303 ST12 - 1 mm</t>
  </si>
  <si>
    <t>Melamine-H1307-Noyer Warmia brun-ST19</t>
  </si>
  <si>
    <t>H1307.jpg</t>
  </si>
  <si>
    <t>H1307-Noyer Warmia brun-ST19</t>
  </si>
  <si>
    <t>H1307 ST19 - 1 mm</t>
  </si>
  <si>
    <t>Melamine-H1312-Chene Whiteriver ceruse sable-ST10</t>
  </si>
  <si>
    <t>H1312.jpg</t>
  </si>
  <si>
    <t>H1312-Chene Whiteriver ceruse sable-ST10</t>
  </si>
  <si>
    <t>H1312 ST10 - 1 mm</t>
  </si>
  <si>
    <t>Melamine-H1313-Chene Whiteriver ceruse gris-ST10</t>
  </si>
  <si>
    <t>H1313.jpg</t>
  </si>
  <si>
    <t>H1313-Chene Whiteriver ceruse gris-ST10</t>
  </si>
  <si>
    <t>H1313 ST10 - 1 mm</t>
  </si>
  <si>
    <t>Melamine-H1318-Chene sauvage naturel-ST10</t>
  </si>
  <si>
    <t>H1318.jpg</t>
  </si>
  <si>
    <t>H1318-Chene sauvage naturel-ST10</t>
  </si>
  <si>
    <t>H1318 ST10 - 1 mm</t>
  </si>
  <si>
    <t>Melamine-H1330-Chene Santa Fe vintage-ST10</t>
  </si>
  <si>
    <t>H1330.jpg</t>
  </si>
  <si>
    <t>H1330-Chene Santa Fe vintage-ST10</t>
  </si>
  <si>
    <t>H1330 ST10 - 1 mm</t>
  </si>
  <si>
    <t>Melamine-H1334-Chene Sorano clair-ST9</t>
  </si>
  <si>
    <t>H1334.jpg</t>
  </si>
  <si>
    <t>H1334-Chene Sorano clair-ST9</t>
  </si>
  <si>
    <t>H1334 ST9 - 1 mm</t>
  </si>
  <si>
    <t>Melamine-H1344-Chene Sherman cognac-ST32</t>
  </si>
  <si>
    <t>H1344.jpg</t>
  </si>
  <si>
    <t>H1344-Chene Sherman cognac-ST32</t>
  </si>
  <si>
    <t>H1344 ST32 - 1 mm</t>
  </si>
  <si>
    <t>Melamine-H1346-Chene Sherman anthracite-ST32</t>
  </si>
  <si>
    <t>H1346.jpg</t>
  </si>
  <si>
    <t>H1346-Chene Sherman anthracite-ST32</t>
  </si>
  <si>
    <t>H1346 ST32 - 1 mm</t>
  </si>
  <si>
    <t>Melamine-H1357-Chene Spree grege-ST10</t>
  </si>
  <si>
    <t>H1357.jpg</t>
  </si>
  <si>
    <t>H1357-Chene Spree grege-ST10</t>
  </si>
  <si>
    <t>H1357 ST10 - 1 mm</t>
  </si>
  <si>
    <t>Melamine-H1362-Chene Baronia clair-ST12</t>
  </si>
  <si>
    <t>H1362.jpg</t>
  </si>
  <si>
    <t>H1362-Chene Baronia clair-ST12</t>
  </si>
  <si>
    <t>H1362 ST12 - 1 mm</t>
  </si>
  <si>
    <t>Melamine-H1367-Chene Casella naturel clair-ST40</t>
  </si>
  <si>
    <t>H1367.jpg</t>
  </si>
  <si>
    <t>H1367-Chene Casella naturel clair-ST40</t>
  </si>
  <si>
    <t>H1367 ST40 - 1 mm</t>
  </si>
  <si>
    <t>Melamine-H1369-Chene Casella brun-ST40</t>
  </si>
  <si>
    <t>H1369.jpg</t>
  </si>
  <si>
    <t>H1369-Chene Casella brun-ST40</t>
  </si>
  <si>
    <t>H1369 ST40 - 1 mm</t>
  </si>
  <si>
    <t>Melamine-H1377-Chene d'Orleans sable-ST36</t>
  </si>
  <si>
    <t>H1377.jpg</t>
  </si>
  <si>
    <t>H1377-Chene d'Orleans sable-ST36</t>
  </si>
  <si>
    <t>H1377 ST36 - 1 mm</t>
  </si>
  <si>
    <t>Melamine-H1379-Chene d'Orleans taupe-ST36</t>
  </si>
  <si>
    <t>H1379.jpg</t>
  </si>
  <si>
    <t>H1379-Chene d'Orleans taupe-ST36</t>
  </si>
  <si>
    <t>H1379 ST36 - 1 mm</t>
  </si>
  <si>
    <t>Melamine-H1384-Chene Casella blanc-ST40</t>
  </si>
  <si>
    <t>H1384.jpg</t>
  </si>
  <si>
    <t>H1384-Chene Casella blanc-ST40</t>
  </si>
  <si>
    <t>H1384 ST40 - 1 mm</t>
  </si>
  <si>
    <t>Melamine-H1385-Chene Casella naturel-ST40</t>
  </si>
  <si>
    <t>H1385.jpg</t>
  </si>
  <si>
    <t>H1385-Chene Casella naturel-ST40</t>
  </si>
  <si>
    <t>H1385 ST40 - 1 mm</t>
  </si>
  <si>
    <t>Melamine-H1386-Chene Casella marron-ST40</t>
  </si>
  <si>
    <t>H1386.jpg</t>
  </si>
  <si>
    <t>H1386-Chene Casella marron-ST40</t>
  </si>
  <si>
    <t>H1386 ST40 - 1 mm</t>
  </si>
  <si>
    <t>Melamine-H1399-Chene Denver chamois-ST10</t>
  </si>
  <si>
    <t>H1399.jpg</t>
  </si>
  <si>
    <t>H1399-Chene Denver chamois-ST10</t>
  </si>
  <si>
    <t>H1399 ST10 - 1 mm</t>
  </si>
  <si>
    <t>Melamine-H1401-Pin Cascina-ST22</t>
  </si>
  <si>
    <t>H1401.jpg</t>
  </si>
  <si>
    <t>H1401-Pin Cascina-ST22</t>
  </si>
  <si>
    <t>H1401 ST22 - 1 mm</t>
  </si>
  <si>
    <t>Melamine-H1487-Epicea de Bramberg-ST22</t>
  </si>
  <si>
    <t>H1487.jpg</t>
  </si>
  <si>
    <t>H1487-Epicea de Bramberg-ST22</t>
  </si>
  <si>
    <t>H1487 ST22 - 1 mm</t>
  </si>
  <si>
    <t>Melamine-H1636-Cerisier Locarno-ST12</t>
  </si>
  <si>
    <t>H1636.jpg</t>
  </si>
  <si>
    <t>H1636-Cerisier Locarno-ST12</t>
  </si>
  <si>
    <t>H1636 ST12 - 1 mm</t>
  </si>
  <si>
    <t>Melamine-H1710-Chataignier du Kentucky sable-ST10</t>
  </si>
  <si>
    <t>H1710.jpg</t>
  </si>
  <si>
    <t>H1710-Chataignier du Kentucky sable-ST10</t>
  </si>
  <si>
    <t>H1710 ST10 - 1 mm</t>
  </si>
  <si>
    <t>Melamine-H1714-Noyer Lincoln-ST19</t>
  </si>
  <si>
    <t>H1714.jpg</t>
  </si>
  <si>
    <t>H1714-Noyer Lincoln-ST19</t>
  </si>
  <si>
    <t>H1714 ST19 - 1 mm</t>
  </si>
  <si>
    <t>Melamine-H1715-Noyer Parona-ST12</t>
  </si>
  <si>
    <t>H1715.jpg</t>
  </si>
  <si>
    <t>H1715-Noyer Parona-ST12</t>
  </si>
  <si>
    <t>H1715 ST12 - 1 mm</t>
  </si>
  <si>
    <t>Melamine-H1732-Bouleau sable-ST9</t>
  </si>
  <si>
    <t>H1732.jpg</t>
  </si>
  <si>
    <t>H1732-Bouleau sable-ST9</t>
  </si>
  <si>
    <t>H1732 ST9 - 1 mm</t>
  </si>
  <si>
    <t>Melamine-H1910-Hetre Willow-ST9</t>
  </si>
  <si>
    <t>H1910.jpg</t>
  </si>
  <si>
    <t>H1910-Hetre Willow-ST9</t>
  </si>
  <si>
    <t>H1910 ST9 - 1 mm</t>
  </si>
  <si>
    <t>Melamine-H2033-Chene de Hunton fonce-ST10</t>
  </si>
  <si>
    <t>H2033.jpg</t>
  </si>
  <si>
    <t>H2033-Chene de Hunton fonce-ST10</t>
  </si>
  <si>
    <t>H2033 ST10 - 1 mm</t>
  </si>
  <si>
    <t>Melamine-H3003-Chene Norwich-ST19</t>
  </si>
  <si>
    <t>H3003.jpg</t>
  </si>
  <si>
    <t>H3003-Chene Norwich-ST19</t>
  </si>
  <si>
    <t>H3003 ST19 - 1 mm</t>
  </si>
  <si>
    <t>Melamine-H3012-Coco bolo-ST22</t>
  </si>
  <si>
    <t>H3012.jpg</t>
  </si>
  <si>
    <t>H3012-Coco bolo-ST22</t>
  </si>
  <si>
    <t>H3012 ST22 - 1 mm</t>
  </si>
  <si>
    <t>Melamine-H3043-Eucalyptus brun fonce-ST12</t>
  </si>
  <si>
    <t>H3043.jpg</t>
  </si>
  <si>
    <t>H3043-Eucalyptus brun fonce-ST12</t>
  </si>
  <si>
    <t>H3043 ST12 - 1 mm</t>
  </si>
  <si>
    <t>Melamine-H305-Chene Tonsberg naturel-ST12</t>
  </si>
  <si>
    <t>H305.jpg</t>
  </si>
  <si>
    <t>H305-Chene Tonsberg naturel-ST12</t>
  </si>
  <si>
    <t>H305 ST12 - 1 mm</t>
  </si>
  <si>
    <t>Melamine-H309-Chene Tonsberg marron fonce-ST12</t>
  </si>
  <si>
    <t>H309.jpg</t>
  </si>
  <si>
    <t>H309-Chene Tonsberg marron fonce-ST12</t>
  </si>
  <si>
    <t>H309 ST12 - 1 mm</t>
  </si>
  <si>
    <t>Melamine-H3131-Chene Davos naturel-ST12</t>
  </si>
  <si>
    <t>H3131.jpg</t>
  </si>
  <si>
    <t>H3131-Chene Davos naturel-ST12</t>
  </si>
  <si>
    <t>H3131 ST12 - 1 mm</t>
  </si>
  <si>
    <t>Melamine-H3133-Chene Davos chamois-ST12</t>
  </si>
  <si>
    <t>H3133.jpg</t>
  </si>
  <si>
    <t>H3133-Chene Davos chamois-ST12</t>
  </si>
  <si>
    <t>H3133 ST12 - 1 mm</t>
  </si>
  <si>
    <t>Melamine-H3146-Chene Lorenzo sable-ST19</t>
  </si>
  <si>
    <t>H3146.jpg</t>
  </si>
  <si>
    <t>H3146-Chene Lorenzo sable-ST19</t>
  </si>
  <si>
    <t>H3146 ST19 - 1 mm</t>
  </si>
  <si>
    <t>Melamine-H3152-Chene Vicenza blanchi-ST19</t>
  </si>
  <si>
    <t>H3152.jpg</t>
  </si>
  <si>
    <t>H3152-Chene Vicenza blanchi-ST19</t>
  </si>
  <si>
    <t>H3152 ST19 - 1 mm</t>
  </si>
  <si>
    <t>Melamine-H3154-Chene Charleston chatain fonce-ST36</t>
  </si>
  <si>
    <t>H3154.jpg</t>
  </si>
  <si>
    <t>H3154-Chene Charleston chatain fonce-ST36</t>
  </si>
  <si>
    <t>H3154 ST36 - 1 mm</t>
  </si>
  <si>
    <t>Melamine-H3156-Chene Corbridge gris-ST12</t>
  </si>
  <si>
    <t>H3156.jpg</t>
  </si>
  <si>
    <t>H3156-Chene Corbridge gris-ST12</t>
  </si>
  <si>
    <t>H3156 ST12 - 1 mm</t>
  </si>
  <si>
    <t>Melamine-H3157-Chene Vicenza-ST12</t>
  </si>
  <si>
    <t>H3157.jpg</t>
  </si>
  <si>
    <t>H3157-Chene Vicenza-ST12</t>
  </si>
  <si>
    <t>H3157 ST12 - 1 mm</t>
  </si>
  <si>
    <t>Melamine-H3158-Chene Vicenza gris-ST19</t>
  </si>
  <si>
    <t>H3158.jpg</t>
  </si>
  <si>
    <t>H3158-Chene Vicenza gris-ST19</t>
  </si>
  <si>
    <t>H3158 ST19 - 1 mm</t>
  </si>
  <si>
    <t>Melamine-H3165-Chene Vicenza clair-ST12</t>
  </si>
  <si>
    <t>H3165.jpg</t>
  </si>
  <si>
    <t>H3165-Chene Vicenza clair-ST12</t>
  </si>
  <si>
    <t>H3165 ST12 - 1 mm</t>
  </si>
  <si>
    <t>Melamine-H3170-Chene Kendal naturel-ST12</t>
  </si>
  <si>
    <t>H3170.jpg</t>
  </si>
  <si>
    <t>H3170-Chene Kendal naturel-ST12</t>
  </si>
  <si>
    <t>H3170 ST12 - 1 mm</t>
  </si>
  <si>
    <t>Melamine-H3171-Chene Kendal huile-ST12</t>
  </si>
  <si>
    <t>H3171.jpg</t>
  </si>
  <si>
    <t>H3171-Chene Kendal huile-ST12</t>
  </si>
  <si>
    <t>H3171 ST12 - 1 mm</t>
  </si>
  <si>
    <t>Melamine-H3176-Chene Halifax zinc-ST37</t>
  </si>
  <si>
    <t>H3176.jpg</t>
  </si>
  <si>
    <t>H3176-Chene Halifax zinc-ST37</t>
  </si>
  <si>
    <t>H3176 ST37 - 1 mm</t>
  </si>
  <si>
    <t>Melamine-H3190-Fineline Metallic anthracite-ST19</t>
  </si>
  <si>
    <t>H3190.jpg</t>
  </si>
  <si>
    <t>H3190-Fineline Metallic anthracite-ST19</t>
  </si>
  <si>
    <t>H3190 ST19 - 1 mm</t>
  </si>
  <si>
    <t>Melamine-H3195-Fineline blanc-ST19</t>
  </si>
  <si>
    <t>H3195.jpg</t>
  </si>
  <si>
    <t>H3195-Fineline blanc-ST19</t>
  </si>
  <si>
    <t>H3195 ST19 - 1 mm</t>
  </si>
  <si>
    <t>Melamine-H3197-Fineline gris moyen-ST19</t>
  </si>
  <si>
    <t>H3197.jpg</t>
  </si>
  <si>
    <t>H3197-Fineline gris moyen-ST19</t>
  </si>
  <si>
    <t>H3197 ST19 - 1 mm</t>
  </si>
  <si>
    <t>Melamine-H3198-Fineline gris fonce-ST19</t>
  </si>
  <si>
    <t>H3198.jpg</t>
  </si>
  <si>
    <t>H3198-Fineline gris fonce-ST19</t>
  </si>
  <si>
    <t>H3198 ST19 - 1 mm</t>
  </si>
  <si>
    <t>Melamine-H3303-Chene Hamilton naturel-ST10</t>
  </si>
  <si>
    <t>H3303.jpg</t>
  </si>
  <si>
    <t>H3303-Chene Hamilton naturel-ST10</t>
  </si>
  <si>
    <t>H3303 ST10 - 1 mm</t>
  </si>
  <si>
    <t>Melamine-H3309-Chene Gladstone sable-ST28</t>
  </si>
  <si>
    <t>H3309.jpg</t>
  </si>
  <si>
    <t>H3309-Chene Gladstone sable-ST28</t>
  </si>
  <si>
    <t>H3309 ST28 - 1 mm</t>
  </si>
  <si>
    <t>Melamine-H3311-Chene Cuneo blanchi-ST28</t>
  </si>
  <si>
    <t>H3311.jpg</t>
  </si>
  <si>
    <t>H3311-Chene Cuneo blanchi-ST28</t>
  </si>
  <si>
    <t>H3311 ST28 - 1 mm</t>
  </si>
  <si>
    <t>Melamine-H3317-Chene Cuneo brun-ST28</t>
  </si>
  <si>
    <t>H3317.jpg</t>
  </si>
  <si>
    <t>H3317-Chene Cuneo brun-ST28</t>
  </si>
  <si>
    <t>H3317 ST28 - 1 mm</t>
  </si>
  <si>
    <t>Melamine-H3325-Chene Gladstone tabac-ST28</t>
  </si>
  <si>
    <t>H3325.jpg</t>
  </si>
  <si>
    <t>H3325-Chene Gladstone tabac-ST28</t>
  </si>
  <si>
    <t>H3325 ST28 - 1 mm</t>
  </si>
  <si>
    <t>Melamine-H3326-Chene Gladstone naturel-ST28</t>
  </si>
  <si>
    <t>H3326.jpg</t>
  </si>
  <si>
    <t>H3326-Chene Gladstone naturel-ST28</t>
  </si>
  <si>
    <t>H3326 ST28 - 1 mm</t>
  </si>
  <si>
    <t>Melamine-H3331-Chene Nebraska naturel-ST10</t>
  </si>
  <si>
    <t>H3331.jpg</t>
  </si>
  <si>
    <t>H3331-Chene Nebraska naturel-ST10</t>
  </si>
  <si>
    <t>H3331 ST10 - 1 mm</t>
  </si>
  <si>
    <t>Melamine-H3332-Chene Nebraska gris-ST10</t>
  </si>
  <si>
    <t>H3332.jpg</t>
  </si>
  <si>
    <t>H3332-Chene Nebraska gris-ST10</t>
  </si>
  <si>
    <t>H3332 ST10 - 1 mm</t>
  </si>
  <si>
    <t>Melamine-H3349-Chene Kaisersberg-ST19</t>
  </si>
  <si>
    <t>H3349.jpg</t>
  </si>
  <si>
    <t>H3349-Chene Kaisersberg-ST19</t>
  </si>
  <si>
    <t>H3349 ST19 - 1 mm</t>
  </si>
  <si>
    <t>Melamine-H3359-Chene Davenport naturel clair-ST32</t>
  </si>
  <si>
    <t>H3359.jpg</t>
  </si>
  <si>
    <t>H3359-Chene Davenport naturel clair-ST32</t>
  </si>
  <si>
    <t>H3359 ST32 - 1 mm</t>
  </si>
  <si>
    <t>Melamine-H3368-Chene de Lancaster naturel-ST9</t>
  </si>
  <si>
    <t>H3368.jpg</t>
  </si>
  <si>
    <t>H3368-Chene de Lancaster naturel-ST9</t>
  </si>
  <si>
    <t>H3368 ST9 - 1 mm</t>
  </si>
  <si>
    <t>Melamine-H3395-Chene Corbridge naturel-ST12</t>
  </si>
  <si>
    <t>H3395.jpg</t>
  </si>
  <si>
    <t>H3395-Chene Corbridge naturel-ST12</t>
  </si>
  <si>
    <t>H3395 ST12 - 1 mm</t>
  </si>
  <si>
    <t>Melamine-H3398-Chene Kendal cognac-ST12</t>
  </si>
  <si>
    <t>H3398.jpg</t>
  </si>
  <si>
    <t>H3398-Chene Kendal cognac-ST12</t>
  </si>
  <si>
    <t>H3398 ST12 - 1 mm</t>
  </si>
  <si>
    <t>Melamine-H3406-Meleze anthracite-ST38</t>
  </si>
  <si>
    <t>H3406.jpg</t>
  </si>
  <si>
    <t>H3406-Meleze anthracite-ST38</t>
  </si>
  <si>
    <t>H3406 ST38 - 1 mm</t>
  </si>
  <si>
    <t>Melamine-H3408-Meleze brun thermo-ST38</t>
  </si>
  <si>
    <t>H3408.jpg</t>
  </si>
  <si>
    <t>H3408-Meleze brun thermo-ST38</t>
  </si>
  <si>
    <t>H3408 ST38 - 1 mm</t>
  </si>
  <si>
    <t>Melamine-H3409-Meleze naturel-ST38</t>
  </si>
  <si>
    <t>H3409.jpg</t>
  </si>
  <si>
    <t>H3409-Meleze naturel-ST38</t>
  </si>
  <si>
    <t>H3409 ST38 - 1 mm</t>
  </si>
  <si>
    <t>Melamine-H3430-Pin Aland blanc-ST22</t>
  </si>
  <si>
    <t>H3430.jpg</t>
  </si>
  <si>
    <t>H3430-Pin Aland blanc-ST22</t>
  </si>
  <si>
    <t>H3430 ST22 - 1 mm</t>
  </si>
  <si>
    <t>Melamine-H3433-Pin Aland polaire-ST22</t>
  </si>
  <si>
    <t>H3433.jpg</t>
  </si>
  <si>
    <t>H3433-Pin Aland polaire-ST22</t>
  </si>
  <si>
    <t>H3433 ST22 - 1 mm</t>
  </si>
  <si>
    <t>Melamine-H3450-Fleetwood blanc-ST22</t>
  </si>
  <si>
    <t>H3450.jpg</t>
  </si>
  <si>
    <t>H3450-Fleetwood blanc-ST22</t>
  </si>
  <si>
    <t>H3450 ST22 - 1 mm</t>
  </si>
  <si>
    <t>Melamine-H3700-Noyer du Pacifique naturel-ST10</t>
  </si>
  <si>
    <t>H3700.jpg</t>
  </si>
  <si>
    <t>H3700-Noyer du Pacifique naturel-ST10</t>
  </si>
  <si>
    <t>H3700 ST10 - 1 mm</t>
  </si>
  <si>
    <t>Melamine-H3702-Noyer du Pacifique tabac-ST10</t>
  </si>
  <si>
    <t>H3702.jpg</t>
  </si>
  <si>
    <t>H3702-Noyer du Pacifique tabac-ST10</t>
  </si>
  <si>
    <t>H3702 ST10 - 1 mm</t>
  </si>
  <si>
    <t>Melamine-H3710-Noyer Carini naturel-ST12</t>
  </si>
  <si>
    <t>H3710.jpg</t>
  </si>
  <si>
    <t>H3710-Noyer Carini naturel-ST12</t>
  </si>
  <si>
    <t>H3710 ST12 - 1 mm</t>
  </si>
  <si>
    <t>Melamine-H3730-Hickory naturel-ST10</t>
  </si>
  <si>
    <t>H3730.jpg</t>
  </si>
  <si>
    <t>H3730-Hickory naturel-ST10</t>
  </si>
  <si>
    <t>H3730 ST10 - 1 mm</t>
  </si>
  <si>
    <t>Melamine-H3734-Noyer de Bourgogne naturel-ST9</t>
  </si>
  <si>
    <t>H3734.jpg</t>
  </si>
  <si>
    <t>H3734-Noyer de Bourgogne naturel-ST9</t>
  </si>
  <si>
    <t>H3734 ST9 - 1 mm</t>
  </si>
  <si>
    <t>Melamine-H3840-Erable Mandal naturel-ST9</t>
  </si>
  <si>
    <t>H3840.jpg</t>
  </si>
  <si>
    <t>H3840-Erable Mandal naturel-ST9</t>
  </si>
  <si>
    <t>H3840 ST9 - 1 mm</t>
  </si>
  <si>
    <t>Melamine-H3860-Erable americain champagne-ST9</t>
  </si>
  <si>
    <t>H3860.jpg</t>
  </si>
  <si>
    <t>H3860-Erable americain champagne-ST9</t>
  </si>
  <si>
    <t>H3860 ST9 - 1 mm</t>
  </si>
  <si>
    <t>Melamine-U104-Blanc albatre-ST9</t>
  </si>
  <si>
    <t>U104.jpg</t>
  </si>
  <si>
    <t>U104-Blanc albatre-ST9</t>
  </si>
  <si>
    <t>U104 ST9 - 1 mm</t>
  </si>
  <si>
    <t>Melamine-U113-Beige sable-ST9</t>
  </si>
  <si>
    <t>U113.jpg</t>
  </si>
  <si>
    <t>U113-Beige sable-ST9</t>
  </si>
  <si>
    <t>U113 ST9 - 1 mm</t>
  </si>
  <si>
    <t>Melamine-U114-Jaune tournesol-ST9</t>
  </si>
  <si>
    <t>U114.jpg</t>
  </si>
  <si>
    <t>U114-Jaune tournesol-ST9</t>
  </si>
  <si>
    <t>U114 ST9 - 1 mm</t>
  </si>
  <si>
    <t>Melamine-U115-Beige carat-ST9</t>
  </si>
  <si>
    <t>U115.jpg</t>
  </si>
  <si>
    <t>U115-Beige carat-ST9</t>
  </si>
  <si>
    <t>U115 ST9 - 1 mm</t>
  </si>
  <si>
    <t>Melamine-U125-Jaune sable-ST9</t>
  </si>
  <si>
    <t>U125.jpg</t>
  </si>
  <si>
    <t>U125-Jaune sable-ST9</t>
  </si>
  <si>
    <t>U125 ST9 - 1 mm</t>
  </si>
  <si>
    <t>Melamine-U131-Jaune citron-ST9</t>
  </si>
  <si>
    <t>U131.jpg</t>
  </si>
  <si>
    <t>U131-Jaune citron-ST9</t>
  </si>
  <si>
    <t>U131 ST9 - 1 mm</t>
  </si>
  <si>
    <t>Melamine-U156-Beige rose-ST9</t>
  </si>
  <si>
    <t>U156.jpg</t>
  </si>
  <si>
    <t>U156-Beige rose-ST9</t>
  </si>
  <si>
    <t>U156 ST9 - 1 mm</t>
  </si>
  <si>
    <t>Melamine-U163-Jaune curry-ST9</t>
  </si>
  <si>
    <t>U163.jpg</t>
  </si>
  <si>
    <t>U163-Jaune curry-ST9</t>
  </si>
  <si>
    <t>U163 ST9 - 1 mm</t>
  </si>
  <si>
    <t>Melamine-U201-Gris galet-ST9</t>
  </si>
  <si>
    <t>U201.jpg</t>
  </si>
  <si>
    <t>U201-Gris galet-ST9</t>
  </si>
  <si>
    <t>U201 ST9 - 1 mm</t>
  </si>
  <si>
    <t>Melamine-U211-Beige amande-ST9</t>
  </si>
  <si>
    <t>U211.jpg</t>
  </si>
  <si>
    <t>U211-Beige amande-ST9</t>
  </si>
  <si>
    <t>U211 ST9 - 1 mm</t>
  </si>
  <si>
    <t>Melamine-U216-Blanc casse-ST9</t>
  </si>
  <si>
    <t>U216.jpg</t>
  </si>
  <si>
    <t>U216-Blanc casse-ST9</t>
  </si>
  <si>
    <t>U216 ST9 - 1 mm</t>
  </si>
  <si>
    <t>Melamine-U222-Blanc ecru-ST9</t>
  </si>
  <si>
    <t>U222.jpg</t>
  </si>
  <si>
    <t>U222-Blanc ecru-ST9</t>
  </si>
  <si>
    <t>U222 ST9 - 1 mm</t>
  </si>
  <si>
    <t>Melamine-U232-Nude abricot-ST9</t>
  </si>
  <si>
    <t>U232.jpg</t>
  </si>
  <si>
    <t>U232-Nude abricot-ST9</t>
  </si>
  <si>
    <t>U232 ST9 - 1 mm</t>
  </si>
  <si>
    <t>Melamine-U311-Rouge bordeaux-ST9</t>
  </si>
  <si>
    <t>U311.jpg</t>
  </si>
  <si>
    <t>U311-Rouge bordeaux-ST9</t>
  </si>
  <si>
    <t>U311 ST9 - 1 mm</t>
  </si>
  <si>
    <t>Melamine-U321-Rouge-ST9</t>
  </si>
  <si>
    <t>U321.jpg</t>
  </si>
  <si>
    <t>U321-Rouge-ST9</t>
  </si>
  <si>
    <t>U321 ST9 - 1 mm</t>
  </si>
  <si>
    <t>Melamine-U323-Rouge cerise-ST9</t>
  </si>
  <si>
    <t>U323.jpg</t>
  </si>
  <si>
    <t>U323-Rouge cerise-ST9</t>
  </si>
  <si>
    <t>U323 ST9 - 1 mm</t>
  </si>
  <si>
    <t>Melamine-U325-Rose antique-ST9</t>
  </si>
  <si>
    <t>U325.jpg</t>
  </si>
  <si>
    <t>U325-Rose antique-ST9</t>
  </si>
  <si>
    <t>U325 ST9 - 1 mm</t>
  </si>
  <si>
    <t>Melamine-U332-Orange-ST9</t>
  </si>
  <si>
    <t>U332.jpg</t>
  </si>
  <si>
    <t>U332-Orange-ST9</t>
  </si>
  <si>
    <t>U332 ST9 - 1 mm</t>
  </si>
  <si>
    <t>Melamine-U335-Rouge oxyde-ST9</t>
  </si>
  <si>
    <t>U335.jpg</t>
  </si>
  <si>
    <t>U335-Rouge oxyde-ST9</t>
  </si>
  <si>
    <t>U335 ST9 - 1 mm</t>
  </si>
  <si>
    <t>Melamine-U350-Orange de Sienne-ST9</t>
  </si>
  <si>
    <t>U350.jpg</t>
  </si>
  <si>
    <t>U350-Orange de Sienne-ST9</t>
  </si>
  <si>
    <t>U350 ST9 - 1 mm</t>
  </si>
  <si>
    <t>Melamine-U363-Rose flamingo-ST9</t>
  </si>
  <si>
    <t>U363.jpg</t>
  </si>
  <si>
    <t>U363-Rose flamingo-ST9</t>
  </si>
  <si>
    <t>U363 ST9 - 1 mm</t>
  </si>
  <si>
    <t>Melamine-U399-Rouge grenat-ST9</t>
  </si>
  <si>
    <t>U399.jpg</t>
  </si>
  <si>
    <t>U399-Rouge grenat-ST9</t>
  </si>
  <si>
    <t>U399 ST9 - 1 mm</t>
  </si>
  <si>
    <t>Melamine-U420-Lilas-ST9</t>
  </si>
  <si>
    <t>U420.jpg</t>
  </si>
  <si>
    <t>U420-Lilas-ST9</t>
  </si>
  <si>
    <t>U420 ST9 - 1 mm</t>
  </si>
  <si>
    <t>Melamine-U430-Violet-ST9</t>
  </si>
  <si>
    <t>U430.jpg</t>
  </si>
  <si>
    <t>U430-Violet-ST9</t>
  </si>
  <si>
    <t>U430 ST9 - 1 mm</t>
  </si>
  <si>
    <t>Melamine-U500-Bleu glacier-ST9</t>
  </si>
  <si>
    <t>U500.jpg</t>
  </si>
  <si>
    <t>U500-Bleu glacier-ST9</t>
  </si>
  <si>
    <t>U500 ST9 - 1 mm</t>
  </si>
  <si>
    <t>Melamine-U502-Bleu brume-ST9</t>
  </si>
  <si>
    <t>U502.jpg</t>
  </si>
  <si>
    <t>U502-Bleu brume-ST9</t>
  </si>
  <si>
    <t>U502 ST9 - 1 mm</t>
  </si>
  <si>
    <t>Melamine-U504-Bleu cosmique-ST9</t>
  </si>
  <si>
    <t>U504.jpg</t>
  </si>
  <si>
    <t>U504-Bleu cosmique-ST9</t>
  </si>
  <si>
    <t>U504 ST9 - 1 mm</t>
  </si>
  <si>
    <t>Melamine-U505-Bleu nordique-ST9</t>
  </si>
  <si>
    <t>U505.jpg</t>
  </si>
  <si>
    <t>U505-Bleu nordique-ST9</t>
  </si>
  <si>
    <t>U505 ST9 - 1 mm</t>
  </si>
  <si>
    <t>Melamine-U522-Bleu horizon-ST9</t>
  </si>
  <si>
    <t>U522.jpg</t>
  </si>
  <si>
    <t>U522-Bleu horizon-ST9</t>
  </si>
  <si>
    <t>U522 ST9 - 1 mm</t>
  </si>
  <si>
    <t>Melamine-U525-Bleu de Delft-ST9</t>
  </si>
  <si>
    <t>U525.jpg</t>
  </si>
  <si>
    <t>U525-Bleu de Delft-ST9</t>
  </si>
  <si>
    <t>U525 ST9 - 1 mm</t>
  </si>
  <si>
    <t>Melamine-U540-Bleu denim-ST9</t>
  </si>
  <si>
    <t>U540.jpg</t>
  </si>
  <si>
    <t>U540-Bleu denim-ST9</t>
  </si>
  <si>
    <t>U540 ST9 - 1 mm</t>
  </si>
  <si>
    <t>Melamine-U545-Bleu baltique-ST9</t>
  </si>
  <si>
    <t>U545.jpg</t>
  </si>
  <si>
    <t>U545-Bleu baltique-ST9</t>
  </si>
  <si>
    <t>U545 ST9 - 1 mm</t>
  </si>
  <si>
    <t>Melamine-U560-Bleu outremer-ST9</t>
  </si>
  <si>
    <t>U560.jpg</t>
  </si>
  <si>
    <t>U560-Bleu outremer-ST9</t>
  </si>
  <si>
    <t>U560 ST9 - 1 mm</t>
  </si>
  <si>
    <t>Melamine-U565-Bleu ocean-ST9</t>
  </si>
  <si>
    <t>U565.jpg</t>
  </si>
  <si>
    <t>U565-Bleu ocean-ST9</t>
  </si>
  <si>
    <t>U565 ST9 - 1 mm</t>
  </si>
  <si>
    <t>Melamine-U570-Bleu nuit-ST9</t>
  </si>
  <si>
    <t>U570.jpg</t>
  </si>
  <si>
    <t>U570-Bleu nuit-ST9</t>
  </si>
  <si>
    <t>U570 ST9 - 1 mm</t>
  </si>
  <si>
    <t>Melamine-U575-Bleu profond-ST9</t>
  </si>
  <si>
    <t>U575.jpg</t>
  </si>
  <si>
    <t>U575-Bleu profond-ST9</t>
  </si>
  <si>
    <t>U575 ST9 - 1 mm</t>
  </si>
  <si>
    <t>Melamine-U599-Bleu indigo-ST9</t>
  </si>
  <si>
    <t>U599.jpg</t>
  </si>
  <si>
    <t>U599-Bleu indigo-ST9</t>
  </si>
  <si>
    <t>U599 ST9 - 1 mm</t>
  </si>
  <si>
    <t>Melamine-U604-Vert eucalyptus-ST9</t>
  </si>
  <si>
    <t>U604.jpg</t>
  </si>
  <si>
    <t>U604-Vert eucalyptus-ST9</t>
  </si>
  <si>
    <t>U604 ST9 - 1 mm</t>
  </si>
  <si>
    <t>Melamine-U606-Vert sapin-ST9</t>
  </si>
  <si>
    <t>U606.jpg</t>
  </si>
  <si>
    <t>U606-Vert sapin-ST9</t>
  </si>
  <si>
    <t>U606 ST9 - 1 mm</t>
  </si>
  <si>
    <t>Melamine-U608-Vert opale-ST9</t>
  </si>
  <si>
    <t>U608.jpg</t>
  </si>
  <si>
    <t>U608-Vert opale-ST9</t>
  </si>
  <si>
    <t>U608 ST9 - 1 mm</t>
  </si>
  <si>
    <t>Melamine-U626-Vert kiwi-ST9</t>
  </si>
  <si>
    <t>U626.jpg</t>
  </si>
  <si>
    <t>U626-Vert kiwi-ST9</t>
  </si>
  <si>
    <t>U626 ST9 - 1 mm</t>
  </si>
  <si>
    <t>Melamine-U630-Vert pomme-ST9</t>
  </si>
  <si>
    <t>U630.jpg</t>
  </si>
  <si>
    <t>U630-Vert pomme-ST9</t>
  </si>
  <si>
    <t>U630 ST9 - 1 mm</t>
  </si>
  <si>
    <t>Melamine-U633-Bleu turquoise-ST9</t>
  </si>
  <si>
    <t>U633.jpg</t>
  </si>
  <si>
    <t>U633-Bleu turquoise-ST9</t>
  </si>
  <si>
    <t>U633 ST9 - 1 mm</t>
  </si>
  <si>
    <t>Melamine-U636-Vert fjord-ST9</t>
  </si>
  <si>
    <t>U636.jpg</t>
  </si>
  <si>
    <t>U636-Vert fjord-ST9</t>
  </si>
  <si>
    <t>U636 ST9 - 1 mm</t>
  </si>
  <si>
    <t>Melamine-U638-Vert sauge-ST9</t>
  </si>
  <si>
    <t>U638.jpg</t>
  </si>
  <si>
    <t>U638-Vert sauge-ST9</t>
  </si>
  <si>
    <t>U638 ST9 - 1 mm</t>
  </si>
  <si>
    <t>Melamine-U640-Vert olive-ST9</t>
  </si>
  <si>
    <t>U640.jpg</t>
  </si>
  <si>
    <t>U640-Vert olive-ST9</t>
  </si>
  <si>
    <t>U640 ST9 - 1 mm</t>
  </si>
  <si>
    <t>Melamine-U645-Vert agave-ST9</t>
  </si>
  <si>
    <t>U645.jpg</t>
  </si>
  <si>
    <t>U645-Vert agave-ST9</t>
  </si>
  <si>
    <t>U645 ST9 - 1 mm</t>
  </si>
  <si>
    <t>Melamine-U646-Vert Niagara-ST9</t>
  </si>
  <si>
    <t>U646.jpg</t>
  </si>
  <si>
    <t>U646-Vert Niagara-ST9</t>
  </si>
  <si>
    <t>U646 ST9 - 1 mm</t>
  </si>
  <si>
    <t>Melamine-U665-Vert mineral-ST9</t>
  </si>
  <si>
    <t>U665.jpg</t>
  </si>
  <si>
    <t>U665-Vert mineral-ST9</t>
  </si>
  <si>
    <t>U665 ST9 - 1 mm</t>
  </si>
  <si>
    <t>Melamine-U699-Vert fonce-ST9</t>
  </si>
  <si>
    <t>U699.jpg</t>
  </si>
  <si>
    <t>U699-Vert fonce-ST9</t>
  </si>
  <si>
    <t>U699 ST9 - 1 mm</t>
  </si>
  <si>
    <t>Melamine-U702-Gris cachemire-ST9</t>
  </si>
  <si>
    <t>U702.jpg</t>
  </si>
  <si>
    <t>U702-Gris cachemire-ST9</t>
  </si>
  <si>
    <t>U702 ST9 - 1 mm</t>
  </si>
  <si>
    <t>Melamine-U705-Gris angora-ST9</t>
  </si>
  <si>
    <t>U705.jpg</t>
  </si>
  <si>
    <t>U705-Gris angora-ST9</t>
  </si>
  <si>
    <t>U705 ST9 - 1 mm</t>
  </si>
  <si>
    <t>Melamine-U707-Soie grise-ST9</t>
  </si>
  <si>
    <t>U707.jpg</t>
  </si>
  <si>
    <t>U707-Soie grise-ST9</t>
  </si>
  <si>
    <t>U707 ST9 - 1 mm</t>
  </si>
  <si>
    <t>Melamine-U708-Gris clair-ST9</t>
  </si>
  <si>
    <t>U708.jpg</t>
  </si>
  <si>
    <t>U708-Gris clair-ST9</t>
  </si>
  <si>
    <t>U708 ST9 - 1 mm</t>
  </si>
  <si>
    <t>Melamine-U727-Gris argile-ST9</t>
  </si>
  <si>
    <t>U727.jpg</t>
  </si>
  <si>
    <t>U727-Gris argile-ST9</t>
  </si>
  <si>
    <t>U727 ST9 - 1 mm</t>
  </si>
  <si>
    <t>Melamine-U732-Gris macadam-ST9</t>
  </si>
  <si>
    <t>U732.jpg</t>
  </si>
  <si>
    <t>U732-Gris macadam-ST9</t>
  </si>
  <si>
    <t>U732 ST9 - 1 mm</t>
  </si>
  <si>
    <t>Melamine-U740-Gris argile fonce-ST9</t>
  </si>
  <si>
    <t>U740.jpg</t>
  </si>
  <si>
    <t>U740-Gris argile fonce-ST9</t>
  </si>
  <si>
    <t>U740 ST9 - 1 mm</t>
  </si>
  <si>
    <t>Melamine-U741-Brun taupe-ST9</t>
  </si>
  <si>
    <t>U741.jpg</t>
  </si>
  <si>
    <t>U741-Brun taupe-ST9</t>
  </si>
  <si>
    <t>U741 ST9 - 1 mm</t>
  </si>
  <si>
    <t>Melamine-U748-Brun sepia-ST9</t>
  </si>
  <si>
    <t>U748.jpg</t>
  </si>
  <si>
    <t>U748-Brun sepia-ST9</t>
  </si>
  <si>
    <t>U748 ST9 - 1 mm</t>
  </si>
  <si>
    <t>Melamine-U750-Gris souris-ST9</t>
  </si>
  <si>
    <t>U750.jpg</t>
  </si>
  <si>
    <t>U750-Gris souris-ST9</t>
  </si>
  <si>
    <t>U750 ST9 - 1 mm</t>
  </si>
  <si>
    <t>Melamine-U763-Gris perle-ST9</t>
  </si>
  <si>
    <t>U763.jpg</t>
  </si>
  <si>
    <t>U763-Gris perle-ST9</t>
  </si>
  <si>
    <t>U763 ST9 - 1 mm</t>
  </si>
  <si>
    <t>Melamine-U767-Gris cubanite-ST9</t>
  </si>
  <si>
    <t>U767.jpg</t>
  </si>
  <si>
    <t>U767-Gris cubanite-ST9</t>
  </si>
  <si>
    <t>U767 ST9 - 1 mm</t>
  </si>
  <si>
    <t>Melamine-U775-Gris brume-ST9</t>
  </si>
  <si>
    <t>U775.jpg</t>
  </si>
  <si>
    <t>U775-Gris brume-ST9</t>
  </si>
  <si>
    <t>U775 ST9 - 1 mm</t>
  </si>
  <si>
    <t>Melamine-U780-Gris celadon-ST9</t>
  </si>
  <si>
    <t>U780.jpg</t>
  </si>
  <si>
    <t>U780-Gris celadon-ST9</t>
  </si>
  <si>
    <t>U780 ST9 - 1 mm</t>
  </si>
  <si>
    <t>Melamine-U788-Gris arctique-ST9</t>
  </si>
  <si>
    <t>U788.jpg</t>
  </si>
  <si>
    <t>U788-Gris arctique-ST9</t>
  </si>
  <si>
    <t>U788 ST9 - 1 mm</t>
  </si>
  <si>
    <t>Melamine-U818-Marron fonce-ST9</t>
  </si>
  <si>
    <t>U818.jpg</t>
  </si>
  <si>
    <t>U818-Marron fonce-ST9</t>
  </si>
  <si>
    <t>U818 ST9 - 1 mm</t>
  </si>
  <si>
    <t>Melamine-U830-Nude terracotta-ST9</t>
  </si>
  <si>
    <t>U830.jpg</t>
  </si>
  <si>
    <t>U830-Nude terracotta-ST9</t>
  </si>
  <si>
    <t>U830 ST9 - 1 mm</t>
  </si>
  <si>
    <t>Melamine-U899-Soft Black-ST9</t>
  </si>
  <si>
    <t>U899.jpg</t>
  </si>
  <si>
    <t>U899-Soft Black-ST9</t>
  </si>
  <si>
    <t>U899 ST9 - 1 mm</t>
  </si>
  <si>
    <t>Melamine-U960-Gris onyx-ST9</t>
  </si>
  <si>
    <t>U960.jpg</t>
  </si>
  <si>
    <t>U960-Gris onyx-ST9</t>
  </si>
  <si>
    <t>U960 ST9 - 1 mm</t>
  </si>
  <si>
    <t>Melamine-U961-Gris graphite-ST7</t>
  </si>
  <si>
    <t>U961.jpg</t>
  </si>
  <si>
    <t>U961-Gris graphite-ST7</t>
  </si>
  <si>
    <t>U961 ST7 - 1 mm</t>
  </si>
  <si>
    <t>Melamine-U963-Gris ombre-ST9</t>
  </si>
  <si>
    <t>U963.jpg</t>
  </si>
  <si>
    <t>U963-Gris ombre-ST9</t>
  </si>
  <si>
    <t>U963 ST9 - 1 mm</t>
  </si>
  <si>
    <t>Melamine-U968-Gris carbone-ST9</t>
  </si>
  <si>
    <t>U968.jpg</t>
  </si>
  <si>
    <t>U968-Gris carbone-ST9</t>
  </si>
  <si>
    <t>U968 ST9 - 1 mm</t>
  </si>
  <si>
    <t>Melamine-U989-Brun noir-ST9</t>
  </si>
  <si>
    <t>U989.jpg</t>
  </si>
  <si>
    <t>U989-Brun noir-ST9</t>
  </si>
  <si>
    <t>U989 ST9 - 1 mm</t>
  </si>
  <si>
    <t>Melamine-U998-Reflet noir-ST38</t>
  </si>
  <si>
    <t>U998.jpg</t>
  </si>
  <si>
    <t>U998-Reflet noir-ST38</t>
  </si>
  <si>
    <t>U998 ST38 - 1 mm</t>
  </si>
  <si>
    <t>Melamine-U999-Noir-ST12</t>
  </si>
  <si>
    <t>U999.jpg</t>
  </si>
  <si>
    <t>U999-Noir-ST12</t>
  </si>
  <si>
    <t>U999 ST12 - 1 mm</t>
  </si>
  <si>
    <t>Melamine-U999-Noir-ST19</t>
  </si>
  <si>
    <t>U999-Noir-ST19</t>
  </si>
  <si>
    <t>U999 ST19 - 1 mm</t>
  </si>
  <si>
    <t>Melamine-U999-Noir-ST20</t>
  </si>
  <si>
    <t>U999-Noir-ST20</t>
  </si>
  <si>
    <t>U999 ST20 - 1 mm</t>
  </si>
  <si>
    <t>Melamine-U999-Noir-ST7</t>
  </si>
  <si>
    <t>U999-Noir-ST7</t>
  </si>
  <si>
    <t>U999 ST7 - 1 mm</t>
  </si>
  <si>
    <t>Melamine-W1000-Blanc premium-ST19</t>
  </si>
  <si>
    <t>W1000.jpg</t>
  </si>
  <si>
    <t>W1000-Blanc premium-ST19</t>
  </si>
  <si>
    <t>W1000 ST19 - 1 mm</t>
  </si>
  <si>
    <t>Melamine-W1000-Blanc premium-ST38</t>
  </si>
  <si>
    <t>W1000-Blanc premium-ST38</t>
  </si>
  <si>
    <t>W1000 ST38 - 1 mm</t>
  </si>
  <si>
    <t>Melamine-W1000-Blanc premium-ST9</t>
  </si>
  <si>
    <t>W1000-Blanc premium-ST9</t>
  </si>
  <si>
    <t>W1000 ST9 - 1 mm</t>
  </si>
  <si>
    <t>Melamine-W1100-Blanc alpin-ST9</t>
  </si>
  <si>
    <t>W1100.jpg</t>
  </si>
  <si>
    <t>W1100-Blanc alpin-ST9</t>
  </si>
  <si>
    <t>W1100 ST9 - 1 mm</t>
  </si>
  <si>
    <t>Melamine-W1200-Blanc porcelaine-ST9</t>
  </si>
  <si>
    <t>W1200.jpg</t>
  </si>
  <si>
    <t>W1200-Blanc porcelaine-ST9</t>
  </si>
  <si>
    <t>W1200 ST9 - 1 mm</t>
  </si>
  <si>
    <t>Melamine-W960-Blanc classique-SM</t>
  </si>
  <si>
    <t>W960.jpg</t>
  </si>
  <si>
    <t>W960-Blanc classique-SM</t>
  </si>
  <si>
    <t>W960 SM - 1 mm</t>
  </si>
  <si>
    <t>Melamine-W960-Blanc classique-ST7</t>
  </si>
  <si>
    <t>W960-Blanc classique-ST7</t>
  </si>
  <si>
    <t>W960 ST7 - 1 mm</t>
  </si>
  <si>
    <t>Melamine-W980-Blanc kaolin-SM</t>
  </si>
  <si>
    <t>W980.jpg</t>
  </si>
  <si>
    <t>W980-Blanc kaolin-SM</t>
  </si>
  <si>
    <t>W980 SM - 1 mm</t>
  </si>
  <si>
    <t>Melamine-W980-Blanc kaolin-ST7</t>
  </si>
  <si>
    <t>W980-Blanc kaolin-ST7</t>
  </si>
  <si>
    <t>W980 ST7 - 1 mm</t>
  </si>
  <si>
    <t>Melamine-W990-Blanc cristal-ST7</t>
  </si>
  <si>
    <t>W990.jpg</t>
  </si>
  <si>
    <t>W990-Blanc cristal-ST7</t>
  </si>
  <si>
    <t>W990 ST7 - 1 mm</t>
  </si>
  <si>
    <t>Melamine-W990-Blanc cristal-ST9</t>
  </si>
  <si>
    <t>W990-Blanc cristal-ST9</t>
  </si>
  <si>
    <t>W990 ST9 - 1 mm</t>
  </si>
  <si>
    <t>Melamine-W908-SM</t>
  </si>
  <si>
    <t>W908.jpg</t>
  </si>
  <si>
    <t>W908-Blanc craie-SM</t>
  </si>
  <si>
    <t>Melamine-W908-ST7</t>
  </si>
  <si>
    <t>W908-Blanc craie-ST7</t>
  </si>
  <si>
    <t>Melamine-H1582-Hetre du Tyrol-ST15</t>
  </si>
  <si>
    <t>H1582.jpg</t>
  </si>
  <si>
    <t>H1582-Hetre du Tyrol-ST15</t>
  </si>
  <si>
    <t>H1582 ST15 - 1 mm</t>
  </si>
  <si>
    <t>Mdf-U399-Rouge grenat-PM</t>
  </si>
  <si>
    <t>PerfectSense 19 mm</t>
  </si>
  <si>
    <t>U399-Rouge grenat-PM</t>
  </si>
  <si>
    <t>U399 PM - 1 mm</t>
  </si>
  <si>
    <t>Mdf-U599-Bleu indigo-PM</t>
  </si>
  <si>
    <t>U599-Bleu indigo-PM</t>
  </si>
  <si>
    <t>U599 PM - 1 mm</t>
  </si>
  <si>
    <t>Mdf-U665-Vert mineral-PM</t>
  </si>
  <si>
    <t>U665-Vert mineral-PM</t>
  </si>
  <si>
    <t>U665 PM - 1 mm</t>
  </si>
  <si>
    <t>Mdf-U702-Gris cachemire-PG</t>
  </si>
  <si>
    <t>U702-Gris cachemire-PG</t>
  </si>
  <si>
    <t>U702 PG - 1 mm</t>
  </si>
  <si>
    <t>Mdf-U702-Gris cachemire-PM</t>
  </si>
  <si>
    <t>U702-Gris cachemire-PM</t>
  </si>
  <si>
    <t>U702 PM - 1 mm</t>
  </si>
  <si>
    <t>Mdf-U705-Gris angora-PM</t>
  </si>
  <si>
    <t>U705-Gris angora-PM</t>
  </si>
  <si>
    <t>U705 PM - 1 mm</t>
  </si>
  <si>
    <t>Mdf-U708-Gris clair-PG</t>
  </si>
  <si>
    <t>U708-Gris clair-PG</t>
  </si>
  <si>
    <t>U708 PG - 1 mm</t>
  </si>
  <si>
    <t>Mdf-U708-Gris clair-PM</t>
  </si>
  <si>
    <t>U708-Gris clair-PM</t>
  </si>
  <si>
    <t>U708 PM - 1 mm</t>
  </si>
  <si>
    <t>Mdf-U732-Gris macadam-PG</t>
  </si>
  <si>
    <t>U732-Gris macadam-PG</t>
  </si>
  <si>
    <t>U732 PG - 1 mm</t>
  </si>
  <si>
    <t>Mdf-U732-Gris macadam-PM</t>
  </si>
  <si>
    <t>U732-Gris macadam-PM</t>
  </si>
  <si>
    <t>U732 PM - 1 mm</t>
  </si>
  <si>
    <t>Mdf-U767-Gris cubanite-PM</t>
  </si>
  <si>
    <t>U767-Gris cubanite-PM</t>
  </si>
  <si>
    <t>U767 PM - 1 mm</t>
  </si>
  <si>
    <t>Mdf-U961-Gris graphite-PM</t>
  </si>
  <si>
    <t>U961-Gris graphite-PM</t>
  </si>
  <si>
    <t>U961 PM - 1 mm</t>
  </si>
  <si>
    <t>Mdf-U999-Noir-PG</t>
  </si>
  <si>
    <t>U999-Noir-PG</t>
  </si>
  <si>
    <t>U999 PG - 1 mm</t>
  </si>
  <si>
    <t>Mdf-U999-Noir-PM</t>
  </si>
  <si>
    <t>U999-Noir-PM</t>
  </si>
  <si>
    <t>U999 PM - 1 mm</t>
  </si>
  <si>
    <t>Mdf-W1000-Blanc premium-PM</t>
  </si>
  <si>
    <t>W1000-Blanc premium-PM</t>
  </si>
  <si>
    <t>W1000 PM - 1 mm</t>
  </si>
  <si>
    <t>Mdf-W1100-Blanc alpin-PG</t>
  </si>
  <si>
    <t>W1100-Blanc alpin-PG</t>
  </si>
  <si>
    <t>W1100 PG - 1 mm</t>
  </si>
  <si>
    <t>Mdf-W1100-Blanc alpin-PM</t>
  </si>
  <si>
    <t>W1100-Blanc alpin-PM</t>
  </si>
  <si>
    <t>W1100 PM - 1 mm</t>
  </si>
  <si>
    <t>Melamine-H1204-Frene Lugano naturel clair-TM22</t>
  </si>
  <si>
    <t>H1204.jpg</t>
  </si>
  <si>
    <t>H1204-Frene Lugano naturel clair-TM22</t>
  </si>
  <si>
    <t>H1204 TM22 - 1 mm</t>
  </si>
  <si>
    <t>Melamine-H1227-Frene Abano marron-TM12</t>
  </si>
  <si>
    <t>H1227.jpg</t>
  </si>
  <si>
    <t>H1227-Frene Abano marron-TM12</t>
  </si>
  <si>
    <t>H1227 TM12 - 1 mm</t>
  </si>
  <si>
    <t>Melamine-H1228-Frene Abano anthracite-TM12</t>
  </si>
  <si>
    <t>H1228.jpg</t>
  </si>
  <si>
    <t>H1228-Frene Abano anthracite-TM12</t>
  </si>
  <si>
    <t>H1228 TM12 - 1 mm</t>
  </si>
  <si>
    <t>Melamine-H3041-Eucalyptus naturel-TM12</t>
  </si>
  <si>
    <t>H3041.jpg</t>
  </si>
  <si>
    <t>H3041-Eucalyptus naturel-TM12</t>
  </si>
  <si>
    <t>H3041 TM12 - 1 mm</t>
  </si>
  <si>
    <t>Melamine-H3180-Chene Halifax brun-TM37</t>
  </si>
  <si>
    <t>H3180.jpg</t>
  </si>
  <si>
    <t>H3180-Chene Halifax brun-TM37</t>
  </si>
  <si>
    <t>H3180 TM37 - 1 mm</t>
  </si>
  <si>
    <t>Melamine-H3311-Chene Cuneo blanchi-TM28</t>
  </si>
  <si>
    <t>38.35</t>
  </si>
  <si>
    <t>H3311-Chene Cuneo blanchi-TM28</t>
  </si>
  <si>
    <t>H3311 TM28 - 1 mm</t>
  </si>
  <si>
    <t>Melamine-H3342-Chene Gladstone lave-TM28</t>
  </si>
  <si>
    <t>H3342.jpg</t>
  </si>
  <si>
    <t>H3342-Chene Gladstone lave-TM28</t>
  </si>
  <si>
    <t>H3342 TM28 - 1 mm</t>
  </si>
  <si>
    <t>Melamine-U201-Gris galet-TM9</t>
  </si>
  <si>
    <t>24.18</t>
  </si>
  <si>
    <t>U201-Gris galet-TM9</t>
  </si>
  <si>
    <t>U201 TM9 - 1 mm</t>
  </si>
  <si>
    <t>Melamine-U740-Gris argile fonce-TM9</t>
  </si>
  <si>
    <t>U740-Gris argile fonce-TM9</t>
  </si>
  <si>
    <t>U740 TM9 - 1 mm</t>
  </si>
  <si>
    <t>Melamine-U750-Gris souris-TM9</t>
  </si>
  <si>
    <t>U750-Gris souris-TM9</t>
  </si>
  <si>
    <t>U750 TM9 - 1 mm</t>
  </si>
  <si>
    <t>Melamine-U960-Gris onyx-TM9</t>
  </si>
  <si>
    <t>U960-Gris onyx-TM9</t>
  </si>
  <si>
    <t>U960 TM9 - 1 mm</t>
  </si>
  <si>
    <t>Melamine-U968-Gris carbone-TM9</t>
  </si>
  <si>
    <t>U968-Gris carbone-TM9</t>
  </si>
  <si>
    <t>U968 TM9 - 1 mm</t>
  </si>
  <si>
    <t>Melamine-U999-Noir-TM28</t>
  </si>
  <si>
    <t>U999-Noir-TM28</t>
  </si>
  <si>
    <t>U999 TM28 - 1 mm</t>
  </si>
  <si>
    <t>Melamine-U999-Noir-TM9</t>
  </si>
  <si>
    <t>U999-Noir-TM9</t>
  </si>
  <si>
    <t>U999 TM9 - 1 mm</t>
  </si>
  <si>
    <t>Melamine-W1000-Blanc premium-TM9</t>
  </si>
  <si>
    <t>W1000-Blanc premium-TM9</t>
  </si>
  <si>
    <t>W1000 TM9 - 1 mm</t>
  </si>
  <si>
    <t>Plan de travail-F1861-Beton Chicago gris clair integral-ST9</t>
  </si>
  <si>
    <t>Plans de travail</t>
  </si>
  <si>
    <t>F1861.jpg</t>
  </si>
  <si>
    <t>F1861-Beton Chicago gris clair integral-ST9</t>
  </si>
  <si>
    <t>Plan de travail-F004-Terrazzo Pelago-ST75</t>
  </si>
  <si>
    <t>F004.jpg</t>
  </si>
  <si>
    <t>F004-Terrazzo Pelago-ST75</t>
  </si>
  <si>
    <t>Plan de travail-F032-Granit Cascia gris-ST78</t>
  </si>
  <si>
    <t>F032.jpg</t>
  </si>
  <si>
    <t>F032-Granit Cascia gris-ST78</t>
  </si>
  <si>
    <t>Plan de travail-F052-Travertin Calais-ST75</t>
  </si>
  <si>
    <t>F052.jpg</t>
  </si>
  <si>
    <t>F052-Travertin Calais-ST75</t>
  </si>
  <si>
    <t>Plan de travail-F121-Pierre metallisee anthracite-ST87</t>
  </si>
  <si>
    <t>F121.jpg</t>
  </si>
  <si>
    <t>F121-Pierre metallisee anthracite-ST87</t>
  </si>
  <si>
    <t>Plan de travail-F205-Pietra Grigia anthracite-ST9</t>
  </si>
  <si>
    <t>F205.jpg</t>
  </si>
  <si>
    <t>F205-Pietra Grigia anthracite-ST9</t>
  </si>
  <si>
    <t>Plan de travail-F206-Pietra Grigia noir-PM</t>
  </si>
  <si>
    <t>F206-Pietra Grigia noir-PM</t>
  </si>
  <si>
    <t>Plan de travail-F229-Marbre Cremona-ST75</t>
  </si>
  <si>
    <t>F229.jpg</t>
  </si>
  <si>
    <t>F229-Marbre Cremona-ST75</t>
  </si>
  <si>
    <t>Plan de travail-F275-Beton fonce-ST9</t>
  </si>
  <si>
    <t>F275.jpg</t>
  </si>
  <si>
    <t>F275-Beton fonce-ST9</t>
  </si>
  <si>
    <t>Plan de travail-F311-Ceramic anthracite-ST87</t>
  </si>
  <si>
    <t>F311.jpg</t>
  </si>
  <si>
    <t>F311-Ceramic anthracite-ST87</t>
  </si>
  <si>
    <t>Plan de travail-F486-Beton sable blanc-ST76</t>
  </si>
  <si>
    <t>F486.jpg</t>
  </si>
  <si>
    <t>F486-Beton sable blanc-ST76</t>
  </si>
  <si>
    <t>Plan de travail-F502-Aluminium brosse fin-ST7</t>
  </si>
  <si>
    <t>F502.jpg</t>
  </si>
  <si>
    <t>F502-Aluminium brosse fin-ST7</t>
  </si>
  <si>
    <t>Plan de travail-F675-Pierre Calvia gris clair-ST75</t>
  </si>
  <si>
    <t>F675.jpg</t>
  </si>
  <si>
    <t>F675-Pierre Calvia gris clair-ST75</t>
  </si>
  <si>
    <t>Plan de travail-H193-Chene lamelle-ST12</t>
  </si>
  <si>
    <t>H193.jpg</t>
  </si>
  <si>
    <t>H193-Chene lamelle-ST12</t>
  </si>
  <si>
    <t>Plan de travail-H3152-Chene Vicenza blanchi-STG8</t>
  </si>
  <si>
    <t>H3152-Chene Vicenza blanchi-STG8</t>
  </si>
  <si>
    <t>Plan de travail-U7081-Gris clair integral-ST76</t>
  </si>
  <si>
    <t>U7081.jpg</t>
  </si>
  <si>
    <t>U7081-Gris clair integral-ST76</t>
  </si>
  <si>
    <t>Plan de travail-U999-Noir-ST76</t>
  </si>
  <si>
    <t>U999-Noir-ST76</t>
  </si>
  <si>
    <t>Plan de travail-U999-Noir-ST78</t>
  </si>
  <si>
    <t>U999-Noir-ST78</t>
  </si>
  <si>
    <t>Plan de travail-W1101-Blanc alpin integral-ST76</t>
  </si>
  <si>
    <t>W1101.jpg</t>
  </si>
  <si>
    <t>W1101-Blanc alpin integral-ST76</t>
  </si>
  <si>
    <t>Sratifie-U7021-Gris cachemire integral-ST9</t>
  </si>
  <si>
    <t>Stratifie ame coloree</t>
  </si>
  <si>
    <t>0.8</t>
  </si>
  <si>
    <t>U7021.jpg</t>
  </si>
  <si>
    <t>Laminate</t>
  </si>
  <si>
    <t>U7021-Gris cachemire integral-ST9</t>
  </si>
  <si>
    <t>Sratifie-U7081-Gris clair integral-ST9</t>
  </si>
  <si>
    <t>U7081-Gris clair integral-ST9</t>
  </si>
  <si>
    <t>Sratifie-U8991-Soft Black integral-ST9</t>
  </si>
  <si>
    <t>U8991.jpg</t>
  </si>
  <si>
    <t>U8991-Soft Black integral-ST9</t>
  </si>
  <si>
    <t>Sratifie-U9631-Gris ombre integral-ST9</t>
  </si>
  <si>
    <t>U9631.jpg</t>
  </si>
  <si>
    <t>U9631-Gris ombre integral-ST9</t>
  </si>
  <si>
    <t>Sratifie-W1001-Blanc premium integral-ST9</t>
  </si>
  <si>
    <t>W1001.jpg</t>
  </si>
  <si>
    <t>W1001-Blanc premium integral-ST9</t>
  </si>
  <si>
    <t>Sratifie-W1101-Blanc alpin integral-ST9</t>
  </si>
  <si>
    <t>W1101-Blanc alpin integral-ST9</t>
  </si>
  <si>
    <t>Sratifie-H1133-Chene Hamilton naturel transversal-ST10</t>
  </si>
  <si>
    <t>Stratifies</t>
  </si>
  <si>
    <t>H1133.jpg</t>
  </si>
  <si>
    <t>H1133-Chene Hamilton naturel transversal-ST10</t>
  </si>
  <si>
    <t>Sratifie-H1180-Chene Halifax naturel-ST22</t>
  </si>
  <si>
    <t>H1180-Chene Halifax naturel-ST22</t>
  </si>
  <si>
    <t>Sratifie-H180-Chene Halifax naturel transversal-ST86</t>
  </si>
  <si>
    <t>H180.jpg</t>
  </si>
  <si>
    <t>H180-Chene Halifax naturel transversal-ST86</t>
  </si>
  <si>
    <t>Sratifie-H307-Noyer Warmia brun transversal-STG4</t>
  </si>
  <si>
    <t>H307.jpg</t>
  </si>
  <si>
    <t>H307-Noyer Warmia brun transversal-STG4</t>
  </si>
  <si>
    <t>Sratifie-H357-Chene Vicenza transversal-STG4</t>
  </si>
  <si>
    <t>H357.jpg</t>
  </si>
  <si>
    <t>H357-Chene Vicenza transversal-STG4</t>
  </si>
  <si>
    <t>Sratifie-H358-Chene Vicenza gris transversal-STG4</t>
  </si>
  <si>
    <t>H358.jpg</t>
  </si>
  <si>
    <t>H358-Chene Vicenza gris transversal-STG4</t>
  </si>
  <si>
    <t>Sratifie-H433-Pin Aland polaire transversal-ST86</t>
  </si>
  <si>
    <t>H433.jpg</t>
  </si>
  <si>
    <t>H433-Pin Aland polaire transversal-ST86</t>
  </si>
  <si>
    <t>Sratifie-U9991-Noir integral-PM</t>
  </si>
  <si>
    <t>U9991.jpg</t>
  </si>
  <si>
    <t>U9991-Noir integral-PM</t>
  </si>
  <si>
    <t>Sratifie-U999-Noir-STG4</t>
  </si>
  <si>
    <t>U999-Noir-STG4</t>
  </si>
  <si>
    <t>Sratifie-W1000-Blanc premium-STG4</t>
  </si>
  <si>
    <t>W1000-Blanc premium-STG4</t>
  </si>
  <si>
    <t>Sratifie-W1001-Blanc premium integral-PG</t>
  </si>
  <si>
    <t>W1001-Blanc premium integral-PG</t>
  </si>
  <si>
    <t>Stratifie-F186-Beton Chicago gris clair-ST9</t>
  </si>
  <si>
    <t>Stratifie-F187-Beton Chicago gris fonce-ST9</t>
  </si>
  <si>
    <t>Stratifie-F206-Pietra Grigia noir-ST9</t>
  </si>
  <si>
    <t>Stratifie-F235-Ardoise Scivaro-ST76</t>
  </si>
  <si>
    <t>Stratifie-F237-Ardoise Cupria-ST76</t>
  </si>
  <si>
    <t>Stratifie-F243-Marbre Candela gris clair-ST76</t>
  </si>
  <si>
    <t>Stratifie-F244-Marbre Candela anthracite-ST76</t>
  </si>
  <si>
    <t>Stratifie-F323-Cobra bronze-ST20</t>
  </si>
  <si>
    <t>Stratifie-F416-Textile beige-ST10</t>
  </si>
  <si>
    <t>Stratifie-F417-Textile gris-ST10</t>
  </si>
  <si>
    <t>Stratifie-F422-Lin blanc-ST10</t>
  </si>
  <si>
    <t>Stratifie-F424-Lin taupe-ST10</t>
  </si>
  <si>
    <t>Stratifie-F433-Lin anthracite-ST10</t>
  </si>
  <si>
    <t>Stratifie-F434-Acier brosse cubanite-ST20</t>
  </si>
  <si>
    <t>Stratifie-F500-Metallic inox-ST20</t>
  </si>
  <si>
    <t>Stratifie-F527-Metal brosse or-ST20</t>
  </si>
  <si>
    <t>Stratifie-F528-Metal brosse bronze-ST20</t>
  </si>
  <si>
    <t>Stratifie-F634-Canevas gris-ST76</t>
  </si>
  <si>
    <t>Stratifie-F635-Canevas anthracite-ST76</t>
  </si>
  <si>
    <t>Stratifie-F637-Chromix blanc-ST10</t>
  </si>
  <si>
    <t>Stratifie-F638-Chromix argent-ST10</t>
  </si>
  <si>
    <t>Stratifie-F685-Acapulco-ST10</t>
  </si>
  <si>
    <t>Stratifie-F765-Gris argent brosse-ST20</t>
  </si>
  <si>
    <t>Stratifie-F800-Marbre cristal-ST9</t>
  </si>
  <si>
    <t>Stratifie-F812-Marbre Levanto blanc-ST9</t>
  </si>
  <si>
    <t>Stratifie-H1113-Chene du Kansas marron-ST10</t>
  </si>
  <si>
    <t>Stratifie-H1142-Chene Sacramento marron-ST36</t>
  </si>
  <si>
    <t>Stratifie-H1143-Chene Sacramento gris-ST36</t>
  </si>
  <si>
    <t>Stratifie-H1145-Chene Bardolino naturel-ST10</t>
  </si>
  <si>
    <t>Stratifie-H1176-Chene Halifax blanc-ST37</t>
  </si>
  <si>
    <t>Stratifie-H1180-Chene Halifax naturel-ST37</t>
  </si>
  <si>
    <t>Stratifie-H1181-Chene Halifax tabac-ST37</t>
  </si>
  <si>
    <t>Stratifie-H1199-Chene thermo noir-ST12</t>
  </si>
  <si>
    <t>Stratifie-H1223-Frene Seville-ST19</t>
  </si>
  <si>
    <t>Stratifie-H1225-Frene Trondheim-ST12</t>
  </si>
  <si>
    <t>Stratifie-H1242-Acacia Sheffield naturel-ST10</t>
  </si>
  <si>
    <t>Stratifie-H1250-Frene Navarra sable-ST36</t>
  </si>
  <si>
    <t>Stratifie-H1277-Acacia de Lakeland creme-ST9</t>
  </si>
  <si>
    <t>Stratifie-H1303-Chene Belmont marron-ST12</t>
  </si>
  <si>
    <t>Stratifie-H1307-Noyer Warmia brun-ST19</t>
  </si>
  <si>
    <t>Stratifie-H1312-Chene Whiteriver ceruse sable-ST10</t>
  </si>
  <si>
    <t>Stratifie-H1313-Chene Whiteriver ceruse gris-ST10</t>
  </si>
  <si>
    <t>Stratifie-H1318-Chene sauvage naturel-ST10</t>
  </si>
  <si>
    <t>Stratifie-H1330-Chene Santa Fe vintage-ST10</t>
  </si>
  <si>
    <t>Stratifie-H1334-Chene Sorano clair-ST9</t>
  </si>
  <si>
    <t>Stratifie-H1344-Chene Sherman cognac-ST32</t>
  </si>
  <si>
    <t>Stratifie-H1346-Chene Sherman anthracite-ST32</t>
  </si>
  <si>
    <t>Stratifie-H1357-Chene Spree grege-ST10</t>
  </si>
  <si>
    <t>Stratifie-H1362-Chene Baronia clair-ST12</t>
  </si>
  <si>
    <t>Stratifie-H1367-Chene Casella naturel clair-ST40</t>
  </si>
  <si>
    <t>Stratifie-H1369-Chene Casella brun-ST40</t>
  </si>
  <si>
    <t>Stratifie-H1377-Chene d'Orleans sable-ST36</t>
  </si>
  <si>
    <t>Stratifie-H1379-Chene d'Orleans taupe-ST36</t>
  </si>
  <si>
    <t>Stratifie-H1384-Chene Casella blanc-ST40</t>
  </si>
  <si>
    <t>Stratifie-H1385-Chene Casella naturel-ST40</t>
  </si>
  <si>
    <t>Stratifie-H1386-Chene Casella marron-ST40</t>
  </si>
  <si>
    <t>Stratifie-H1399-Chene Denver chamois-ST10</t>
  </si>
  <si>
    <t>Stratifie-H1401-Pin Cascina-ST22</t>
  </si>
  <si>
    <t>Stratifie-H1487-Epicea de Bramberg-ST22</t>
  </si>
  <si>
    <t>Stratifie-H1636-Cerisier Locarno-ST12</t>
  </si>
  <si>
    <t>Stratifie-H1710-Chataignier du Kentucky sable-ST10</t>
  </si>
  <si>
    <t>Stratifie-H1714-Noyer Lincoln-ST19</t>
  </si>
  <si>
    <t>Stratifie-H1715-Noyer Parona-ST12</t>
  </si>
  <si>
    <t>Stratifie-H1732-Bouleau sable-ST9</t>
  </si>
  <si>
    <t>Stratifie-H1910-Hetre Willow-ST9</t>
  </si>
  <si>
    <t>Stratifie-H2033-Chene de Hunton fonce-ST10</t>
  </si>
  <si>
    <t>Stratifie-H3003-Chene Norwich-ST19</t>
  </si>
  <si>
    <t>Stratifie-H3012-Coco bolo-ST22</t>
  </si>
  <si>
    <t>Stratifie-H3043-Eucalyptus brun fonce-ST12</t>
  </si>
  <si>
    <t>Stratifie-H305-Chene Tonsberg naturel-ST12</t>
  </si>
  <si>
    <t>Stratifie-H309-Chene Tonsberg marron fonce-ST12</t>
  </si>
  <si>
    <t>Stratifie-H3131-Chene Davos naturel-ST12</t>
  </si>
  <si>
    <t>Stratifie-H3133-Chene Davos chamois-ST12</t>
  </si>
  <si>
    <t>Stratifie-H3146-Chene Lorenzo sable-ST19</t>
  </si>
  <si>
    <t>Stratifie-H3152-Chene Vicenza blanchi-ST19</t>
  </si>
  <si>
    <t>Stratifie-H3154-Chene Charleston chatain fonce-ST36</t>
  </si>
  <si>
    <t>Stratifie-H3156-Chene Corbridge gris-ST12</t>
  </si>
  <si>
    <t>Stratifie-H3157-Chene Vicenza-ST12</t>
  </si>
  <si>
    <t>Stratifie-H3158-Chene Vicenza gris-ST19</t>
  </si>
  <si>
    <t>Stratifie-H3165-Chene Vicenza clair-ST12</t>
  </si>
  <si>
    <t>Stratifie-H3170-Chene Kendal naturel-ST12</t>
  </si>
  <si>
    <t>Stratifie-H3171-Chene Kendal huile-ST12</t>
  </si>
  <si>
    <t>Stratifie-H3176-Chene Halifax zinc-ST37</t>
  </si>
  <si>
    <t>Stratifie-H3190-Fineline Metallic anthracite-ST19</t>
  </si>
  <si>
    <t>Stratifie-H3195-Fineline blanc-ST19</t>
  </si>
  <si>
    <t>Stratifie-H3197-Fineline gris moyen-ST19</t>
  </si>
  <si>
    <t>Stratifie-H3198-Fineline gris fonce-ST19</t>
  </si>
  <si>
    <t>Stratifie-H3303-Chene Hamilton naturel-ST10</t>
  </si>
  <si>
    <t>Stratifie-H3309-Chene Gladstone sable-ST28</t>
  </si>
  <si>
    <t>Stratifie-H3311-Chene Cuneo blanchi-ST28</t>
  </si>
  <si>
    <t>Stratifie-H3317-Chene Cuneo brun-ST28</t>
  </si>
  <si>
    <t>Stratifie-H3325-Chene Gladstone tabac-ST28</t>
  </si>
  <si>
    <t>Stratifie-H3326-Chene Gladstone naturel-ST28</t>
  </si>
  <si>
    <t>Stratifie-H3331-Chene Nebraska naturel-ST10</t>
  </si>
  <si>
    <t>Stratifie-H3332-Chene Nebraska gris-ST10</t>
  </si>
  <si>
    <t>Stratifie-H3349-Chene Kaisersberg-ST19</t>
  </si>
  <si>
    <t>Stratifie-H3359-Chene Davenport naturel clair-ST32</t>
  </si>
  <si>
    <t>Stratifie-H3368-Chene de Lancaster naturel-ST9</t>
  </si>
  <si>
    <t>Stratifie-H3395-Chene Corbridge naturel-ST12</t>
  </si>
  <si>
    <t>Stratifie-H3398-Chene Kendal cognac-ST12</t>
  </si>
  <si>
    <t>Stratifie-H3406-Meleze anthracite-ST38</t>
  </si>
  <si>
    <t>Stratifie-H3408-Meleze brun thermo-ST38</t>
  </si>
  <si>
    <t>Stratifie-H3409-Meleze naturel-ST38</t>
  </si>
  <si>
    <t>Stratifie-H3430-Pin Aland blanc-ST22</t>
  </si>
  <si>
    <t>Stratifie-H3433-Pin Aland polaire-ST22</t>
  </si>
  <si>
    <t>Stratifie-H3450-Fleetwood blanc-ST22</t>
  </si>
  <si>
    <t>Stratifie-H3700-Noyer du Pacifique naturel-ST10</t>
  </si>
  <si>
    <t>Stratifie-H3702-Noyer du Pacifique tabac-ST10</t>
  </si>
  <si>
    <t>Stratifie-H3710-Noyer Carini naturel-ST12</t>
  </si>
  <si>
    <t>Stratifie-H3730-Hickory naturel-ST10</t>
  </si>
  <si>
    <t>Stratifie-H3734-Noyer de Bourgogne naturel-ST9</t>
  </si>
  <si>
    <t>Stratifie-H3840-Erable Mandal naturel-ST9</t>
  </si>
  <si>
    <t>Stratifie-H3860-Erable americain champagne-ST9</t>
  </si>
  <si>
    <t>Stratifie-U104-Blanc albatre-ST9</t>
  </si>
  <si>
    <t>Stratifie-U113-Beige sable-ST9</t>
  </si>
  <si>
    <t>Stratifie-U114-Jaune tournesol-ST9</t>
  </si>
  <si>
    <t>Stratifie-U115-Beige carat-ST9</t>
  </si>
  <si>
    <t>Stratifie-U125-Jaune sable-ST9</t>
  </si>
  <si>
    <t>Stratifie-U131-Jaune citron-ST9</t>
  </si>
  <si>
    <t>Stratifie-U156-Beige rose-ST9</t>
  </si>
  <si>
    <t>Stratifie-U163-Jaune curry-ST9</t>
  </si>
  <si>
    <t>Stratifie-U201-Gris galet-ST9</t>
  </si>
  <si>
    <t>Stratifie-U211-Beige amande-ST9</t>
  </si>
  <si>
    <t>Stratifie-U216-Blanc casse-ST9</t>
  </si>
  <si>
    <t>Stratifie-U222-Blanc ecru-ST9</t>
  </si>
  <si>
    <t>Stratifie-U232-Nude abricot-ST9</t>
  </si>
  <si>
    <t>Stratifie-U311-Rouge bordeaux-ST9</t>
  </si>
  <si>
    <t>Stratifie-U321-Rouge-ST9</t>
  </si>
  <si>
    <t>Stratifie-U323-Rouge cerise-ST9</t>
  </si>
  <si>
    <t>Stratifie-U325-Rose antique-ST9</t>
  </si>
  <si>
    <t>Stratifie-U332-Orange-ST9</t>
  </si>
  <si>
    <t>Stratifie-U335-Rouge oxyde-ST9</t>
  </si>
  <si>
    <t>Stratifie-U350-Orange de Sienne-ST9</t>
  </si>
  <si>
    <t>Stratifie-U363-Rose flamingo-ST9</t>
  </si>
  <si>
    <t>Stratifie-U399-Rouge grenat-ST9</t>
  </si>
  <si>
    <t>Stratifie-U420-Lilas-ST9</t>
  </si>
  <si>
    <t>Stratifie-U430-Violet-ST9</t>
  </si>
  <si>
    <t>Stratifie-U500-Bleu glacier-ST9</t>
  </si>
  <si>
    <t>Stratifie-U502-Bleu brume-ST9</t>
  </si>
  <si>
    <t>Stratifie-U504-Bleu cosmique-ST9</t>
  </si>
  <si>
    <t>Stratifie-U505-Bleu nordique-ST9</t>
  </si>
  <si>
    <t>Stratifie-U522-Bleu horizon-ST9</t>
  </si>
  <si>
    <t>Stratifie-U525-Bleu de Delft-ST9</t>
  </si>
  <si>
    <t>Stratifie-U540-Bleu denim-ST9</t>
  </si>
  <si>
    <t>Stratifie-U545-Bleu baltique-ST9</t>
  </si>
  <si>
    <t>Stratifie-U560-Bleu outremer-ST9</t>
  </si>
  <si>
    <t>Stratifie-U565-Bleu ocean-ST9</t>
  </si>
  <si>
    <t>Stratifie-U570-Bleu nuit-ST9</t>
  </si>
  <si>
    <t>Stratifie-U575-Bleu profond-ST9</t>
  </si>
  <si>
    <t>Stratifie-U599-Bleu indigo-ST9</t>
  </si>
  <si>
    <t>Stratifie-U604-Vert eucalyptus-ST9</t>
  </si>
  <si>
    <t>Stratifie-U606-Vert sapin-ST9</t>
  </si>
  <si>
    <t>Stratifie-U608-Vert opale-ST9</t>
  </si>
  <si>
    <t>Stratifie-U626-Vert kiwi-ST9</t>
  </si>
  <si>
    <t>Stratifie-U630-Vert pomme-ST9</t>
  </si>
  <si>
    <t>Stratifie-U633-Bleu turquoise-ST9</t>
  </si>
  <si>
    <t>Stratifie-U636-Vert fjord-ST9</t>
  </si>
  <si>
    <t>Stratifie-U638-Vert sauge-ST9</t>
  </si>
  <si>
    <t>Stratifie-U640-Vert olive-ST9</t>
  </si>
  <si>
    <t>Stratifie-U645-Vert agave-ST9</t>
  </si>
  <si>
    <t>Stratifie-U646-Vert Niagara-ST9</t>
  </si>
  <si>
    <t>Stratifie-U665-Vert mineral-ST9</t>
  </si>
  <si>
    <t>Stratifie-U699-Vert fonce-ST9</t>
  </si>
  <si>
    <t>Stratifie-U702-Gris cachemire-ST9</t>
  </si>
  <si>
    <t>Stratifie-U705-Gris angora-ST9</t>
  </si>
  <si>
    <t>Stratifie-U707-Soie grise-ST9</t>
  </si>
  <si>
    <t>Stratifie-U708-Gris clair-ST9</t>
  </si>
  <si>
    <t>Stratifie-U727-Gris argile-ST9</t>
  </si>
  <si>
    <t>Stratifie-U732-Gris macadam-ST9</t>
  </si>
  <si>
    <t>Stratifie-U740-Gris argile fonce-ST9</t>
  </si>
  <si>
    <t>Stratifie-U741-Brun taupe-ST9</t>
  </si>
  <si>
    <t>Stratifie-U748-Brun sepia-ST9</t>
  </si>
  <si>
    <t>Stratifie-U750-Gris souris-ST9</t>
  </si>
  <si>
    <t>Stratifie-U763-Gris perle-ST9</t>
  </si>
  <si>
    <t>Stratifie-U767-Gris cubanite-ST9</t>
  </si>
  <si>
    <t>Stratifie-U775-Gris brume-ST9</t>
  </si>
  <si>
    <t>Stratifie-U780-Gris celadon-ST9</t>
  </si>
  <si>
    <t>Stratifie-U788-Gris arctique-ST9</t>
  </si>
  <si>
    <t>Stratifie-U818-Marron fonce-ST9</t>
  </si>
  <si>
    <t>Stratifie-U830-Nude terracotta-ST9</t>
  </si>
  <si>
    <t>Stratifie-U899-Soft Black-ST9</t>
  </si>
  <si>
    <t>Stratifie-U960-Gris onyx-ST9</t>
  </si>
  <si>
    <t>Stratifie-U961-Gris graphite-ST7</t>
  </si>
  <si>
    <t>Stratifie-U963-Gris ombre-ST9</t>
  </si>
  <si>
    <t>Stratifie-U968-Gris carbone-ST9</t>
  </si>
  <si>
    <t>Stratifie-U989-Brun noir-ST9</t>
  </si>
  <si>
    <t>Stratifie-U998-Reflet noir-ST38</t>
  </si>
  <si>
    <t>Stratifie-U999-Noir-ST12</t>
  </si>
  <si>
    <t>Stratifie-U999-Noir-ST19</t>
  </si>
  <si>
    <t>Stratifie-U999-Noir-ST20</t>
  </si>
  <si>
    <t>Stratifie-U999-Noir-ST7</t>
  </si>
  <si>
    <t>Stratifie-W1000-Blanc premium-ST19</t>
  </si>
  <si>
    <t>Stratifie-W1000-Blanc premium-ST38</t>
  </si>
  <si>
    <t>Stratifie-W1000-Blanc premium-ST9</t>
  </si>
  <si>
    <t>Stratifie-W1100-Blanc alpin-ST9</t>
  </si>
  <si>
    <t>Stratifie-W1200-Blanc porcelaine-ST9</t>
  </si>
  <si>
    <t>Stratifie-W960-Blanc classique-SM</t>
  </si>
  <si>
    <t>Stratifie-W960-Blanc classique-ST7</t>
  </si>
  <si>
    <t>Stratifie-W980-Blanc kaolin-SM</t>
  </si>
  <si>
    <t>Stratifie-W980-Blanc kaolin-ST7</t>
  </si>
  <si>
    <t>Stratifie-W990-Blanc cristal-ST7</t>
  </si>
  <si>
    <t>Stratifie-W990-Blanc cristal-ST9</t>
  </si>
  <si>
    <t>Stratifie-W908-SM</t>
  </si>
  <si>
    <t>Stratifie-W908-ST7</t>
  </si>
  <si>
    <t>Stratifie-H1582-Hetre du Tyrol-ST15</t>
  </si>
  <si>
    <t>Sratifie-W1101-Blanc alpin integral-PM</t>
  </si>
  <si>
    <t>W1101-Blanc alpin integral-PM</t>
  </si>
  <si>
    <t>Compact-F226-Titanit sable-ST87</t>
  </si>
  <si>
    <t>Stratifies compacts</t>
  </si>
  <si>
    <t>F226.jpg</t>
  </si>
  <si>
    <t>F226-Titanit sable-ST87</t>
  </si>
  <si>
    <t>Compact-F228-Titanit anthracite-ST87</t>
  </si>
  <si>
    <t>F228.jpg</t>
  </si>
  <si>
    <t>F228-Titanit anthracite-ST87</t>
  </si>
  <si>
    <t>Compact-F302-Ferro bronze-ST87</t>
  </si>
  <si>
    <t>F302.jpg</t>
  </si>
  <si>
    <t>F302-Ferro bronze-ST87</t>
  </si>
  <si>
    <t>Compact-H1225-Frene Trondheim-ST10</t>
  </si>
  <si>
    <t>H1225-Frene Trondheim-ST10</t>
  </si>
  <si>
    <t>Compact-H1636-Cerisier Locarno-ST9</t>
  </si>
  <si>
    <t>H1636-Cerisier Locarno-ST9</t>
  </si>
  <si>
    <t>Compact-H3133-Chene Davos chamois-ST9</t>
  </si>
  <si>
    <t>H3133-Chene Davos chamois-ST9</t>
  </si>
  <si>
    <t>Compact-H3146-Chene Lorenzo sable-ST22</t>
  </si>
  <si>
    <t>H3146-Chene Lorenzo sable-ST22</t>
  </si>
  <si>
    <t>Compact-H3156-Chene Corbridge gris-ST9</t>
  </si>
  <si>
    <t>H3156-Chene Corbridge gris-ST9</t>
  </si>
  <si>
    <t>Compact-H3157-Chene Vicenza-ST9</t>
  </si>
  <si>
    <t>H3157-Chene Vicenza-ST9</t>
  </si>
  <si>
    <t>Compact-H3158-Chene Vicenza gris-ST22</t>
  </si>
  <si>
    <t>H3158-Chene Vicenza gris-ST22</t>
  </si>
  <si>
    <t>Compact-H3170-Chene Kendal naturel-ST9</t>
  </si>
  <si>
    <t>H3170-Chene Kendal naturel-ST9</t>
  </si>
  <si>
    <t>Compact-H3171-Chene Kendal huile-ST9</t>
  </si>
  <si>
    <t>H3171-Chene Kendal huile-ST9</t>
  </si>
  <si>
    <t>Compact-H3395-Chene Corbridge naturel-ST9</t>
  </si>
  <si>
    <t>H3395-Chene Corbridge naturel-ST9</t>
  </si>
  <si>
    <t>Compact-H3398-Chene Kendal cognac-ST9</t>
  </si>
  <si>
    <t>H3398-Chene Kendal cognac-ST9</t>
  </si>
  <si>
    <t>Compact-H3710-Noyer Carini naturel-ST9</t>
  </si>
  <si>
    <t>H3710-Noyer Carini naturel-ST9</t>
  </si>
  <si>
    <t>Compact-U999-Noir-ST87</t>
  </si>
  <si>
    <t>U999-Noir-ST87</t>
  </si>
  <si>
    <t>Compact-U7021-Gris cachemire integral-ST9</t>
  </si>
  <si>
    <t>Compact-U7081-Gris clair integral-ST9</t>
  </si>
  <si>
    <t>Compact-U8991-Soft Black integral-ST9</t>
  </si>
  <si>
    <t>Compact-U9631-Gris ombre integral-ST9</t>
  </si>
  <si>
    <t>Compact-W1001-Blanc premium integral-ST9</t>
  </si>
  <si>
    <t>Compact-W1101-Blanc alpin integral-ST9</t>
  </si>
  <si>
    <t>Stratifies Matt-H3180-Chene Halifax brun-TM12</t>
  </si>
  <si>
    <t>Stratifies Matt</t>
  </si>
  <si>
    <t>H3180-Chene Halifax brun-TM12</t>
  </si>
  <si>
    <t>Stratifies Matt-H3311-Chene Cuneo blanchi-TM12</t>
  </si>
  <si>
    <t>H3311-Chene Cuneo blanchi-TM12</t>
  </si>
  <si>
    <t>Stratifies Matt-H3342-Chene Gladstone lave-TM12</t>
  </si>
  <si>
    <t>H3342-Chene Gladstone lave-TM12</t>
  </si>
  <si>
    <t>Stratifies Matt-U201-Gris galet-PM</t>
  </si>
  <si>
    <t>U201-Gris galet-PM</t>
  </si>
  <si>
    <t>Stratifies Matt-U740-Gris argile fonce-PM</t>
  </si>
  <si>
    <t>U740-Gris argile fonce-PM</t>
  </si>
  <si>
    <t>Stratifies Matt-U750-Gris souris-PM</t>
  </si>
  <si>
    <t>U750-Gris souris-PM</t>
  </si>
  <si>
    <t>Stratifies Matt-U960-Gris onyx-PM</t>
  </si>
  <si>
    <t>U960-Gris onyx-PM</t>
  </si>
  <si>
    <t>Stratifies Matt-U968-Gris carbone-PM</t>
  </si>
  <si>
    <t>U968-Gris carbone-PM</t>
  </si>
  <si>
    <t>Stratifies Matt-U999-Noir-TM12</t>
  </si>
  <si>
    <t>U999-Noir-TM12</t>
  </si>
  <si>
    <t>3plis epicea 12 mm</t>
  </si>
  <si>
    <t>3 plis</t>
  </si>
  <si>
    <t>3plis.jpg</t>
  </si>
  <si>
    <t>0.0523598775598299</t>
  </si>
  <si>
    <t xml:space="preserve">3 plis Tout Epicea choix B C  - 500x205cm ep. 12mm </t>
  </si>
  <si>
    <t>1.5</t>
  </si>
  <si>
    <t>3plis epicea 16 mm</t>
  </si>
  <si>
    <t xml:space="preserve">3 plis Tout Epicea choix B C  - 500x205cm ep. 16mm </t>
  </si>
  <si>
    <t>3plis epicea 19 mm</t>
  </si>
  <si>
    <t>3 plis Tout Epicea choix B C  - 500x205cm ep. 19mm</t>
  </si>
  <si>
    <t>3plis epicea 22 mm</t>
  </si>
  <si>
    <t>3 plis Tout Epicea choix B C  - 500x205cm ep. 22mm</t>
  </si>
  <si>
    <t>3plis epicea 27 mm</t>
  </si>
  <si>
    <t>3 plis Tout Epicea choix B C  - 500x205cm ep. 27mm</t>
  </si>
  <si>
    <t>3plis epicea 32 mm</t>
  </si>
  <si>
    <t>3 plis Tout Epicea choix B C  - 500x205cm ep. 32mm</t>
  </si>
  <si>
    <t>3plis epicea 40 mm</t>
  </si>
  <si>
    <t>3 plis Tout Epicea choix B C  - 500x205cm ep. 40mm</t>
  </si>
  <si>
    <t>3 plis-3plis meleze B C 19 mm</t>
  </si>
  <si>
    <t>3plis meleze B C 19 mm</t>
  </si>
  <si>
    <t>Agglo 16 mm</t>
  </si>
  <si>
    <t>Agglomere</t>
  </si>
  <si>
    <t>agglo.jpg</t>
  </si>
  <si>
    <t>Agglo 19 mm</t>
  </si>
  <si>
    <t>Agglo 19mm Hydrofuge</t>
  </si>
  <si>
    <t>Agglo 22 mm</t>
  </si>
  <si>
    <t>Agglo 28 mm</t>
  </si>
  <si>
    <t>Agglo 38 mm</t>
  </si>
  <si>
    <t>Agglo Hydrofuge 38 mm</t>
  </si>
  <si>
    <t>Agglo replaque Chene 19 mm</t>
  </si>
  <si>
    <t>Agglo replaque Frene 19 mm</t>
  </si>
  <si>
    <t>Chute</t>
  </si>
  <si>
    <t>Autres</t>
  </si>
  <si>
    <t>Contreplaque Bouleau 10 mm</t>
  </si>
  <si>
    <t>Contreplaque</t>
  </si>
  <si>
    <t>cp_bouleau.jpg</t>
  </si>
  <si>
    <t>Contreplaque Bouleau 12 mm</t>
  </si>
  <si>
    <t>Contreplaque Bouleau 15 mm</t>
  </si>
  <si>
    <t>Contreplaque Bouleau 18 mm</t>
  </si>
  <si>
    <t>Contreplaque Bouleau 21 mm</t>
  </si>
  <si>
    <t>Contreplaque Bouleau 24 mm</t>
  </si>
  <si>
    <t>Contreplaque Bouleau 30 mm</t>
  </si>
  <si>
    <t>Contreplaque Bouleau 48 mm</t>
  </si>
  <si>
    <t>Contreplaque Bouleau 9 mm</t>
  </si>
  <si>
    <t>Contreplaque Cintrable 8 mm</t>
  </si>
  <si>
    <t>peuplier.jpg</t>
  </si>
  <si>
    <t>Contreplaque Tout Peuplier Pop Linea - 250x122 cm - ep. 10 mm - choix BB BB</t>
  </si>
  <si>
    <t>Contreplaque Tout Peuplier Pop Linea - 250x122 cm - ep. 15 mm - choix BB BB</t>
  </si>
  <si>
    <t>Contreplaque Tout Peuplier Pop Linea - 250x122 cm - ep. 18 mm - choix BB BB</t>
  </si>
  <si>
    <t>Contreplaque Tout Peuplier Pop Linea - 250x122 cm - ep. 21 mm - choix BB BB</t>
  </si>
  <si>
    <t>Contreplaque Tout Peuplier Pop Linea - 250x122 cm - ep. 5 mm - choix BB BB</t>
  </si>
  <si>
    <t>Contreplaque Tout Peuplier Pop Linea - 300x150 cm - ep. 10 mm - choix BB BB</t>
  </si>
  <si>
    <t>Contreplaque Tout Peuplier Pop Linea - 300x150 cm - ep. 15 mm - choix BB BB</t>
  </si>
  <si>
    <t>Contreplaque Tout Peuplier Pop Linea - 300x150 cm - ep. 18 mm - choix BB BB</t>
  </si>
  <si>
    <t>Contreplaque Tout Peuplier Pop Linea - 300x150 cm - ep. 21 mm - choix BB BB</t>
  </si>
  <si>
    <t>Contreplaque Tout Peuplier Pop Linea - 300x150 cm - ep. 5 mm - choix BB BB</t>
  </si>
  <si>
    <t>EGGER Decors</t>
  </si>
  <si>
    <t>MDF Medium standard 10mm</t>
  </si>
  <si>
    <t>Medium</t>
  </si>
  <si>
    <t>mdf.jpg</t>
  </si>
  <si>
    <t>MDF Medium standard 12mm</t>
  </si>
  <si>
    <t>MDF Medium standard 16mm</t>
  </si>
  <si>
    <t>MDF Medium standard 19mm</t>
  </si>
  <si>
    <t>MDF Medium standard 22mm</t>
  </si>
  <si>
    <t>MDF Medium standard 25mm</t>
  </si>
  <si>
    <t>MDF Medium standard 30mm</t>
  </si>
  <si>
    <t>MDF Medium standard 38mm</t>
  </si>
  <si>
    <t>MDF Medium standard 40mm</t>
  </si>
  <si>
    <t>MDF Medium standard 5mm</t>
  </si>
  <si>
    <t>&lt;SWOODMat xmlns:xsd="http://www.w3.org/2001/XMLSchema" xmlns:xsi="http://www.w3.org/2001/XMLSchema-instance" Version="1" xmlns="http://www.eficad.com//SWOODMat"&gt;</t>
  </si>
  <si>
    <t>ID</t>
  </si>
  <si>
    <t>Reference</t>
  </si>
  <si>
    <t>ImagePath</t>
  </si>
  <si>
    <t>CreationCorps</t>
  </si>
  <si>
    <t>WidthMin</t>
  </si>
  <si>
    <t>WidthMax</t>
  </si>
  <si>
    <t>Width</t>
  </si>
  <si>
    <t>ForceStockExclusion</t>
  </si>
  <si>
    <t>ShapeID</t>
  </si>
  <si>
    <t>EndShapeID</t>
  </si>
  <si>
    <t>UseMitreCut</t>
  </si>
  <si>
    <t>TextureHeight</t>
  </si>
  <si>
    <t>EBAdditionalShapeID</t>
  </si>
  <si>
    <t>EBWFinish</t>
  </si>
  <si>
    <t>EBSupplier</t>
  </si>
  <si>
    <t>Generic EB 10mm Add</t>
  </si>
  <si>
    <t>#FF0000</t>
  </si>
  <si>
    <t>Test</t>
  </si>
  <si>
    <t>Generic EB 10mm Remove</t>
  </si>
  <si>
    <t>GenEB_Desc</t>
  </si>
  <si>
    <t>GenEB_Ref</t>
  </si>
  <si>
    <t>#7FFF00</t>
  </si>
  <si>
    <t>unfinished pine.jpg</t>
  </si>
  <si>
    <t>A</t>
  </si>
  <si>
    <t>Generic EB 10mm None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</si>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</sst>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2" tint="-9.9978637043366805E-2"/>
      <name val="Consolas"/>
      <family val="3"/>
    </font>
    <font>
      <b/>
      <sz val="14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7" tint="0.39997558519241921"/>
      </left>
      <right/>
      <top style="thin">
        <color theme="4" tint="0.39997558519241921"/>
      </top>
      <bottom/>
      <diagonal/>
    </border>
    <border>
      <left/>
      <right style="thin">
        <color theme="7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6" fillId="0" borderId="0" xfId="0" applyNumberFormat="1" applyFon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E726265-2673-34A5-53A5-B71AA53246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….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38100</xdr:rowOff>
        </xdr:from>
        <xdr:to>
          <xdr:col>16</xdr:col>
          <xdr:colOff>561975</xdr:colOff>
          <xdr:row>1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21BBCBC-E54A-7054-38E0-E35D970280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….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752475</xdr:colOff>
          <xdr:row>0</xdr:row>
          <xdr:rowOff>38100</xdr:rowOff>
        </xdr:from>
        <xdr:to>
          <xdr:col>17</xdr:col>
          <xdr:colOff>1343025</xdr:colOff>
          <xdr:row>1</xdr:row>
          <xdr:rowOff>200025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C43E223-C91B-801B-F20F-45EE1F6DB4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olidWorks\SWOODData\DAT\Documents\XLS\ReportLists_to_Excel_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p_Global"/>
      <sheetName val="Tp_LANGUAGE"/>
      <sheetName val="Tp_STOCK_CORE"/>
      <sheetName val="Tp_FINISH"/>
      <sheetName val="Tp_EDGEBAND"/>
      <sheetName val="Tp_HARDWARE"/>
      <sheetName val="Tp_HARDWARE_LIST"/>
      <sheetName val="Tp_PARTLIST"/>
      <sheetName val="Tp_MULTIBODIES"/>
      <sheetName val="Tp_PRODUCT"/>
      <sheetName val="Tp_WELDMENTS"/>
      <sheetName val="Tp_LABEL"/>
      <sheetName val="SUMMARY"/>
      <sheetName val="Tp_NESTING_B"/>
      <sheetName val="ReportLists_to_Excel_Template"/>
    </sheetNames>
    <definedNames>
      <definedName name="openDialogXM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563"/>
  <sheetViews>
    <sheetView tabSelected="1" zoomScale="85" zoomScaleNormal="85" workbookViewId="0">
      <selection activeCell="O17" sqref="O17"/>
    </sheetView>
  </sheetViews>
  <sheetFormatPr baseColWidth="10" defaultColWidth="9.140625" defaultRowHeight="15" x14ac:dyDescent="0.25"/>
  <cols>
    <col min="1" max="1" width="66.28515625" style="8" customWidth="1"/>
    <col min="2" max="2" width="23.7109375" style="8" customWidth="1"/>
    <col min="3" max="3" width="32.5703125" style="8" customWidth="1"/>
    <col min="4" max="4" width="11.85546875" style="8" bestFit="1" customWidth="1"/>
    <col min="5" max="5" width="15.5703125" style="8" bestFit="1" customWidth="1"/>
    <col min="6" max="6" width="7.140625" style="8" bestFit="1" customWidth="1"/>
    <col min="7" max="7" width="10" style="8" bestFit="1" customWidth="1"/>
    <col min="8" max="8" width="8.7109375" style="8" bestFit="1" customWidth="1"/>
    <col min="9" max="9" width="15" style="8" bestFit="1" customWidth="1"/>
    <col min="10" max="10" width="18.5703125" style="8" bestFit="1" customWidth="1"/>
    <col min="11" max="11" width="18.42578125" style="8" bestFit="1" customWidth="1"/>
    <col min="12" max="12" width="11.5703125" style="8" bestFit="1" customWidth="1"/>
    <col min="13" max="13" width="95.28515625" style="8" customWidth="1"/>
    <col min="14" max="14" width="20.28515625" style="8" customWidth="1"/>
    <col min="15" max="15" width="19" style="8" bestFit="1" customWidth="1"/>
    <col min="16" max="16" width="22.5703125" style="8" bestFit="1" customWidth="1"/>
    <col min="17" max="17" width="15.140625" style="8" bestFit="1" customWidth="1"/>
    <col min="18" max="18" width="22" style="8" bestFit="1" customWidth="1"/>
    <col min="19" max="19" width="11.28515625" style="8" bestFit="1" customWidth="1"/>
    <col min="20" max="20" width="18.5703125" style="8" bestFit="1" customWidth="1"/>
    <col min="21" max="21" width="18.7109375" style="8" bestFit="1" customWidth="1"/>
    <col min="22" max="22" width="27.42578125" style="8" bestFit="1" customWidth="1"/>
    <col min="23" max="23" width="14.5703125" style="8" bestFit="1" customWidth="1"/>
    <col min="24" max="24" width="18.5703125" style="8" bestFit="1" customWidth="1"/>
    <col min="25" max="25" width="22.140625" style="8" bestFit="1" customWidth="1"/>
    <col min="26" max="26" width="30.85546875" style="8" bestFit="1" customWidth="1"/>
    <col min="27" max="27" width="13.42578125" style="8" bestFit="1" customWidth="1"/>
    <col min="28" max="28" width="22.42578125" style="8" bestFit="1" customWidth="1"/>
    <col min="29" max="29" width="8.7109375" style="8" bestFit="1" customWidth="1"/>
    <col min="30" max="30" width="15" style="8" bestFit="1" customWidth="1"/>
    <col min="31" max="31" width="19.28515625" style="8" customWidth="1"/>
    <col min="32" max="32" width="27.140625" style="8" bestFit="1" customWidth="1"/>
    <col min="33" max="33" width="25.5703125" style="8" bestFit="1" customWidth="1"/>
    <col min="34" max="34" width="22.140625" style="8" bestFit="1" customWidth="1"/>
    <col min="35" max="35" width="19.140625" style="8" bestFit="1" customWidth="1"/>
    <col min="36" max="36" width="19.5703125" style="8" bestFit="1" customWidth="1"/>
    <col min="37" max="37" width="22.85546875" style="8" bestFit="1" customWidth="1"/>
    <col min="38" max="38" width="22.85546875" style="8" customWidth="1"/>
    <col min="39" max="39" width="23.28515625" style="8" bestFit="1" customWidth="1"/>
    <col min="40" max="41" width="22.85546875" style="8" customWidth="1"/>
    <col min="42" max="42" width="26.85546875" style="8" bestFit="1" customWidth="1"/>
    <col min="43" max="43" width="22.85546875" style="8" customWidth="1"/>
    <col min="44" max="44" width="16.85546875" style="8" bestFit="1" customWidth="1"/>
    <col min="45" max="45" width="16.85546875" style="8" customWidth="1"/>
    <col min="46" max="46" width="19.85546875" style="8" customWidth="1"/>
    <col min="47" max="48" width="16.85546875" style="8" customWidth="1"/>
    <col min="49" max="49" width="16.7109375" style="8" bestFit="1" customWidth="1"/>
    <col min="50" max="51" width="9.140625" style="8" customWidth="1"/>
    <col min="52" max="16384" width="9.140625" style="8"/>
  </cols>
  <sheetData>
    <row r="1" spans="1:49" x14ac:dyDescent="0.25">
      <c r="A1" s="6" t="s">
        <v>0</v>
      </c>
      <c r="E1" s="9" t="s">
        <v>1</v>
      </c>
      <c r="F1" s="10"/>
      <c r="G1" s="11" t="s">
        <v>2</v>
      </c>
      <c r="H1" s="12"/>
      <c r="I1" s="12"/>
      <c r="J1" s="12"/>
      <c r="K1" s="12"/>
      <c r="L1" s="12"/>
      <c r="M1" s="12"/>
      <c r="N1" s="12"/>
      <c r="O1" s="12"/>
      <c r="P1" s="12"/>
    </row>
    <row r="2" spans="1:49" x14ac:dyDescent="0.25">
      <c r="A2" s="6" t="s">
        <v>3</v>
      </c>
    </row>
    <row r="3" spans="1:49" x14ac:dyDescent="0.25">
      <c r="AL3" s="1" t="s">
        <v>4</v>
      </c>
      <c r="AM3" s="1" t="s">
        <v>5</v>
      </c>
      <c r="AN3" s="1" t="s">
        <v>6</v>
      </c>
      <c r="AO3" s="1" t="s">
        <v>5</v>
      </c>
      <c r="AP3" s="1" t="s">
        <v>5</v>
      </c>
      <c r="AQ3" s="1" t="s">
        <v>7</v>
      </c>
      <c r="AR3" s="1" t="s">
        <v>8</v>
      </c>
      <c r="AS3" s="1" t="s">
        <v>9</v>
      </c>
      <c r="AT3" s="1" t="s">
        <v>9</v>
      </c>
      <c r="AU3" s="1" t="s">
        <v>9</v>
      </c>
      <c r="AV3" s="1" t="s">
        <v>9</v>
      </c>
      <c r="AW3" s="1" t="s">
        <v>10</v>
      </c>
    </row>
    <row r="4" spans="1:49" s="5" customFormat="1" x14ac:dyDescent="0.25">
      <c r="A4" s="4" t="s">
        <v>11</v>
      </c>
      <c r="B4" s="2" t="s">
        <v>12</v>
      </c>
      <c r="C4" s="2" t="s">
        <v>13</v>
      </c>
      <c r="D4" s="2" t="s">
        <v>14</v>
      </c>
      <c r="E4" s="2" t="s">
        <v>15</v>
      </c>
      <c r="F4" s="2" t="s">
        <v>16</v>
      </c>
      <c r="G4" s="2" t="s">
        <v>17</v>
      </c>
      <c r="H4" s="2" t="s">
        <v>18</v>
      </c>
      <c r="I4" s="2" t="s">
        <v>19</v>
      </c>
      <c r="J4" s="2" t="s">
        <v>20</v>
      </c>
      <c r="K4" s="2" t="s">
        <v>21</v>
      </c>
      <c r="L4" s="2" t="s">
        <v>22</v>
      </c>
      <c r="M4" s="2" t="s">
        <v>23</v>
      </c>
      <c r="N4" s="2" t="s">
        <v>24</v>
      </c>
      <c r="O4" s="2" t="s">
        <v>25</v>
      </c>
      <c r="P4" s="2" t="s">
        <v>26</v>
      </c>
      <c r="Q4" s="2" t="s">
        <v>27</v>
      </c>
      <c r="R4" s="2" t="s">
        <v>28</v>
      </c>
      <c r="S4" s="2" t="s">
        <v>29</v>
      </c>
      <c r="T4" s="2" t="s">
        <v>30</v>
      </c>
      <c r="U4" s="2" t="s">
        <v>31</v>
      </c>
      <c r="V4" s="2" t="s">
        <v>32</v>
      </c>
      <c r="W4" s="2" t="s">
        <v>33</v>
      </c>
      <c r="X4" s="2" t="s">
        <v>34</v>
      </c>
      <c r="Y4" s="2" t="s">
        <v>35</v>
      </c>
      <c r="Z4" s="2" t="s">
        <v>36</v>
      </c>
      <c r="AA4" s="2" t="s">
        <v>37</v>
      </c>
      <c r="AB4" s="2" t="s">
        <v>38</v>
      </c>
      <c r="AC4" s="2" t="s">
        <v>39</v>
      </c>
      <c r="AD4" s="2" t="s">
        <v>40</v>
      </c>
      <c r="AE4" s="2" t="s">
        <v>41</v>
      </c>
      <c r="AF4" s="2" t="s">
        <v>42</v>
      </c>
      <c r="AG4" s="2" t="s">
        <v>43</v>
      </c>
      <c r="AH4" s="2" t="s">
        <v>44</v>
      </c>
      <c r="AI4" s="2" t="s">
        <v>45</v>
      </c>
      <c r="AJ4" s="2" t="s">
        <v>46</v>
      </c>
      <c r="AK4" s="2" t="s">
        <v>47</v>
      </c>
      <c r="AL4" s="2" t="s">
        <v>48</v>
      </c>
      <c r="AM4" s="2" t="s">
        <v>49</v>
      </c>
      <c r="AN4" s="2" t="s">
        <v>50</v>
      </c>
      <c r="AO4" s="2" t="s">
        <v>48</v>
      </c>
      <c r="AP4" s="2" t="s">
        <v>49</v>
      </c>
      <c r="AQ4" s="2" t="s">
        <v>50</v>
      </c>
      <c r="AR4" s="2" t="s">
        <v>51</v>
      </c>
      <c r="AS4" s="2" t="s">
        <v>52</v>
      </c>
      <c r="AT4" s="2" t="s">
        <v>53</v>
      </c>
      <c r="AU4" s="2" t="s">
        <v>54</v>
      </c>
      <c r="AV4" s="2" t="s">
        <v>55</v>
      </c>
      <c r="AW4" s="3" t="s">
        <v>56</v>
      </c>
    </row>
    <row r="5" spans="1:49" x14ac:dyDescent="0.25">
      <c r="A5" t="s">
        <v>57</v>
      </c>
      <c r="B5">
        <v>7786359</v>
      </c>
      <c r="C5" t="s">
        <v>58</v>
      </c>
      <c r="D5">
        <v>19</v>
      </c>
      <c r="E5">
        <v>1</v>
      </c>
      <c r="F5">
        <v>15.79</v>
      </c>
      <c r="G5">
        <v>750</v>
      </c>
      <c r="H5" s="8" t="s">
        <v>59</v>
      </c>
      <c r="J5" t="s">
        <v>60</v>
      </c>
      <c r="K5" s="8">
        <v>1</v>
      </c>
      <c r="L5" s="8">
        <v>1</v>
      </c>
      <c r="M5" t="str">
        <f t="shared" ref="M5:M68" si="0">IF(ISNUMBER(SEARCH("Melamine",A5)),_xlfn.CONCAT(A5," ",D5," mm"),A5)</f>
        <v>Melamine-F186-Beton Chicago gris clair-ST9 19 mm</v>
      </c>
      <c r="N5" s="8">
        <v>0</v>
      </c>
      <c r="O5" s="8">
        <v>1</v>
      </c>
      <c r="P5" s="8">
        <v>0</v>
      </c>
      <c r="Q5" s="8" t="s">
        <v>61</v>
      </c>
      <c r="R5" s="8" t="s">
        <v>62</v>
      </c>
      <c r="AB5" t="s">
        <v>63</v>
      </c>
      <c r="AD5" t="s">
        <v>64</v>
      </c>
      <c r="AE5" s="8">
        <v>1</v>
      </c>
      <c r="AF5" s="8">
        <v>0</v>
      </c>
      <c r="AG5" s="8" t="s">
        <v>65</v>
      </c>
      <c r="AH5" s="8">
        <v>1</v>
      </c>
      <c r="AI5" s="8">
        <v>1</v>
      </c>
      <c r="AJ5" s="8">
        <v>1</v>
      </c>
      <c r="AK5" s="8">
        <v>1</v>
      </c>
      <c r="AR5" s="8">
        <v>2790</v>
      </c>
      <c r="AS5" s="8">
        <v>2070</v>
      </c>
      <c r="AT5">
        <v>7786359</v>
      </c>
      <c r="AU5" s="8" t="s">
        <v>66</v>
      </c>
      <c r="AW5" s="8">
        <v>0</v>
      </c>
    </row>
    <row r="6" spans="1:49" x14ac:dyDescent="0.25">
      <c r="A6" t="s">
        <v>67</v>
      </c>
      <c r="B6">
        <v>7786360</v>
      </c>
      <c r="C6" t="s">
        <v>58</v>
      </c>
      <c r="D6">
        <v>19</v>
      </c>
      <c r="E6">
        <v>1</v>
      </c>
      <c r="F6">
        <v>11.83</v>
      </c>
      <c r="G6">
        <v>750</v>
      </c>
      <c r="J6" t="s">
        <v>68</v>
      </c>
      <c r="K6" s="8">
        <v>1</v>
      </c>
      <c r="L6" s="8">
        <v>1</v>
      </c>
      <c r="M6" t="str">
        <f t="shared" si="0"/>
        <v>Melamine-F187-Beton Chicago gris fonce-ST9 19 mm</v>
      </c>
      <c r="N6" s="8">
        <v>0</v>
      </c>
      <c r="O6" s="8">
        <v>1</v>
      </c>
      <c r="P6" s="8">
        <v>0</v>
      </c>
      <c r="Q6" s="8" t="s">
        <v>61</v>
      </c>
      <c r="R6" s="8" t="s">
        <v>62</v>
      </c>
      <c r="AB6" t="s">
        <v>69</v>
      </c>
      <c r="AD6" t="s">
        <v>70</v>
      </c>
      <c r="AE6" s="8">
        <v>1</v>
      </c>
      <c r="AF6" s="8">
        <v>0</v>
      </c>
      <c r="AG6" s="8" t="s">
        <v>65</v>
      </c>
      <c r="AH6" s="8">
        <v>1</v>
      </c>
      <c r="AI6" s="8">
        <v>1</v>
      </c>
      <c r="AJ6" s="8">
        <v>1</v>
      </c>
      <c r="AK6" s="8">
        <v>1</v>
      </c>
      <c r="AR6" s="8">
        <v>2790</v>
      </c>
      <c r="AS6" s="8">
        <v>2070</v>
      </c>
      <c r="AT6">
        <v>7787168</v>
      </c>
      <c r="AU6" s="8" t="s">
        <v>66</v>
      </c>
      <c r="AW6" s="8">
        <v>0</v>
      </c>
    </row>
    <row r="7" spans="1:49" x14ac:dyDescent="0.25">
      <c r="A7" t="s">
        <v>71</v>
      </c>
      <c r="B7">
        <v>7786363</v>
      </c>
      <c r="C7" t="s">
        <v>58</v>
      </c>
      <c r="D7">
        <v>19</v>
      </c>
      <c r="E7">
        <v>1</v>
      </c>
      <c r="F7">
        <v>15.79</v>
      </c>
      <c r="G7">
        <v>750</v>
      </c>
      <c r="J7" t="s">
        <v>72</v>
      </c>
      <c r="K7" s="8">
        <v>1</v>
      </c>
      <c r="L7" s="8">
        <v>1</v>
      </c>
      <c r="M7" t="str">
        <f t="shared" si="0"/>
        <v>Melamine-F206-Pietra Grigia noir-ST9 19 mm</v>
      </c>
      <c r="N7" s="8">
        <v>0</v>
      </c>
      <c r="O7" s="8">
        <v>1</v>
      </c>
      <c r="P7" s="8">
        <v>0</v>
      </c>
      <c r="Q7" s="8" t="s">
        <v>61</v>
      </c>
      <c r="R7" s="8" t="s">
        <v>62</v>
      </c>
      <c r="AB7" t="s">
        <v>73</v>
      </c>
      <c r="AD7" t="s">
        <v>74</v>
      </c>
      <c r="AE7" s="8">
        <v>1</v>
      </c>
      <c r="AF7" s="8">
        <v>0</v>
      </c>
      <c r="AG7" s="8" t="s">
        <v>65</v>
      </c>
      <c r="AH7" s="8">
        <v>1</v>
      </c>
      <c r="AI7" s="8">
        <v>1</v>
      </c>
      <c r="AJ7" s="8">
        <v>1</v>
      </c>
      <c r="AK7" s="8">
        <v>1</v>
      </c>
      <c r="AR7" s="8">
        <v>2790</v>
      </c>
      <c r="AS7" s="8">
        <v>2070</v>
      </c>
      <c r="AT7">
        <v>7786363</v>
      </c>
      <c r="AU7" s="8" t="s">
        <v>66</v>
      </c>
      <c r="AW7" s="8">
        <v>0</v>
      </c>
    </row>
    <row r="8" spans="1:49" x14ac:dyDescent="0.25">
      <c r="A8" t="s">
        <v>75</v>
      </c>
      <c r="B8">
        <v>4766218</v>
      </c>
      <c r="C8" t="s">
        <v>58</v>
      </c>
      <c r="D8">
        <v>19</v>
      </c>
      <c r="E8">
        <v>1</v>
      </c>
      <c r="F8">
        <v>18.71</v>
      </c>
      <c r="G8">
        <v>750</v>
      </c>
      <c r="J8" t="s">
        <v>76</v>
      </c>
      <c r="K8" s="8">
        <v>1</v>
      </c>
      <c r="L8" s="8">
        <v>1</v>
      </c>
      <c r="M8" t="str">
        <f t="shared" si="0"/>
        <v>Melamine-F235-Ardoise Scivaro-ST76 19 mm</v>
      </c>
      <c r="N8" s="8">
        <v>0</v>
      </c>
      <c r="O8" s="8">
        <v>1</v>
      </c>
      <c r="P8" s="8">
        <v>0</v>
      </c>
      <c r="Q8" s="8" t="s">
        <v>61</v>
      </c>
      <c r="R8" s="8" t="s">
        <v>62</v>
      </c>
      <c r="AB8" t="s">
        <v>77</v>
      </c>
      <c r="AD8" t="s">
        <v>78</v>
      </c>
      <c r="AE8" s="8">
        <v>1</v>
      </c>
      <c r="AF8" s="8">
        <v>0</v>
      </c>
      <c r="AG8" s="8" t="s">
        <v>65</v>
      </c>
      <c r="AH8" s="8">
        <v>1</v>
      </c>
      <c r="AI8" s="8">
        <v>1</v>
      </c>
      <c r="AJ8" s="8">
        <v>1</v>
      </c>
      <c r="AK8" s="8">
        <v>1</v>
      </c>
      <c r="AR8" s="8">
        <v>2790</v>
      </c>
      <c r="AS8" s="8">
        <v>2070</v>
      </c>
      <c r="AT8">
        <v>4766218</v>
      </c>
      <c r="AU8" s="8" t="s">
        <v>66</v>
      </c>
      <c r="AW8" s="8">
        <v>0</v>
      </c>
    </row>
    <row r="9" spans="1:49" x14ac:dyDescent="0.25">
      <c r="A9" t="s">
        <v>79</v>
      </c>
      <c r="B9">
        <v>4766221</v>
      </c>
      <c r="C9" t="s">
        <v>58</v>
      </c>
      <c r="D9">
        <v>19</v>
      </c>
      <c r="E9">
        <v>1</v>
      </c>
      <c r="F9">
        <v>18.71</v>
      </c>
      <c r="G9">
        <v>750</v>
      </c>
      <c r="J9" t="s">
        <v>80</v>
      </c>
      <c r="K9" s="8">
        <v>1</v>
      </c>
      <c r="L9" s="8">
        <v>1</v>
      </c>
      <c r="M9" t="str">
        <f t="shared" si="0"/>
        <v>Melamine-F237-Ardoise Cupria-ST76 19 mm</v>
      </c>
      <c r="N9" s="8">
        <v>0</v>
      </c>
      <c r="O9" s="8">
        <v>1</v>
      </c>
      <c r="P9" s="8">
        <v>0</v>
      </c>
      <c r="Q9" s="8" t="s">
        <v>61</v>
      </c>
      <c r="R9" s="8" t="s">
        <v>62</v>
      </c>
      <c r="AB9" t="s">
        <v>81</v>
      </c>
      <c r="AD9" t="s">
        <v>82</v>
      </c>
      <c r="AE9" s="8">
        <v>1</v>
      </c>
      <c r="AF9" s="8">
        <v>0</v>
      </c>
      <c r="AG9" s="8" t="s">
        <v>65</v>
      </c>
      <c r="AH9" s="8">
        <v>1</v>
      </c>
      <c r="AI9" s="8">
        <v>1</v>
      </c>
      <c r="AJ9" s="8">
        <v>1</v>
      </c>
      <c r="AK9" s="8">
        <v>1</v>
      </c>
      <c r="AR9" s="8">
        <v>2790</v>
      </c>
      <c r="AS9" s="8">
        <v>2070</v>
      </c>
      <c r="AT9">
        <v>4766221</v>
      </c>
      <c r="AU9" s="8" t="s">
        <v>66</v>
      </c>
      <c r="AW9" s="8">
        <v>0</v>
      </c>
    </row>
    <row r="10" spans="1:49" x14ac:dyDescent="0.25">
      <c r="A10" t="s">
        <v>83</v>
      </c>
      <c r="B10">
        <v>4766224</v>
      </c>
      <c r="C10" t="s">
        <v>58</v>
      </c>
      <c r="D10">
        <v>19</v>
      </c>
      <c r="E10">
        <v>1</v>
      </c>
      <c r="F10">
        <v>14.19</v>
      </c>
      <c r="G10">
        <v>750</v>
      </c>
      <c r="J10" t="s">
        <v>84</v>
      </c>
      <c r="K10" s="8">
        <v>1</v>
      </c>
      <c r="L10" s="8">
        <v>1</v>
      </c>
      <c r="M10" t="str">
        <f t="shared" si="0"/>
        <v>Melamine-F243-Marbre Candela gris clair-ST76 19 mm</v>
      </c>
      <c r="N10" s="8">
        <v>0</v>
      </c>
      <c r="O10" s="8">
        <v>1</v>
      </c>
      <c r="P10" s="8">
        <v>0</v>
      </c>
      <c r="Q10" s="8" t="s">
        <v>61</v>
      </c>
      <c r="R10" s="8" t="s">
        <v>62</v>
      </c>
      <c r="AB10" t="s">
        <v>85</v>
      </c>
      <c r="AD10" t="s">
        <v>86</v>
      </c>
      <c r="AE10" s="8">
        <v>1</v>
      </c>
      <c r="AF10" s="8">
        <v>0</v>
      </c>
      <c r="AG10" s="8" t="s">
        <v>65</v>
      </c>
      <c r="AH10" s="8">
        <v>1</v>
      </c>
      <c r="AI10" s="8">
        <v>1</v>
      </c>
      <c r="AJ10" s="8">
        <v>1</v>
      </c>
      <c r="AK10" s="8">
        <v>1</v>
      </c>
      <c r="AR10" s="8">
        <v>2790</v>
      </c>
      <c r="AS10" s="8">
        <v>2070</v>
      </c>
      <c r="AT10">
        <v>4766223</v>
      </c>
      <c r="AU10" s="8" t="s">
        <v>66</v>
      </c>
      <c r="AW10" s="8">
        <v>0</v>
      </c>
    </row>
    <row r="11" spans="1:49" x14ac:dyDescent="0.25">
      <c r="A11" t="s">
        <v>87</v>
      </c>
      <c r="B11">
        <v>4766227</v>
      </c>
      <c r="C11" t="s">
        <v>58</v>
      </c>
      <c r="D11">
        <v>19</v>
      </c>
      <c r="E11">
        <v>1</v>
      </c>
      <c r="F11">
        <v>18.71</v>
      </c>
      <c r="G11">
        <v>750</v>
      </c>
      <c r="J11" t="s">
        <v>88</v>
      </c>
      <c r="K11" s="8">
        <v>1</v>
      </c>
      <c r="L11" s="8">
        <v>1</v>
      </c>
      <c r="M11" t="str">
        <f t="shared" si="0"/>
        <v>Melamine-F244-Marbre Candela anthracite-ST76 19 mm</v>
      </c>
      <c r="N11" s="8">
        <v>0</v>
      </c>
      <c r="O11" s="8">
        <v>1</v>
      </c>
      <c r="P11" s="8">
        <v>0</v>
      </c>
      <c r="Q11" s="8" t="s">
        <v>61</v>
      </c>
      <c r="R11" s="8" t="s">
        <v>62</v>
      </c>
      <c r="AB11" t="s">
        <v>89</v>
      </c>
      <c r="AD11" t="s">
        <v>90</v>
      </c>
      <c r="AE11" s="8">
        <v>1</v>
      </c>
      <c r="AF11" s="8">
        <v>0</v>
      </c>
      <c r="AG11" s="8" t="s">
        <v>65</v>
      </c>
      <c r="AH11" s="8">
        <v>1</v>
      </c>
      <c r="AI11" s="8">
        <v>1</v>
      </c>
      <c r="AJ11" s="8">
        <v>1</v>
      </c>
      <c r="AK11" s="8">
        <v>1</v>
      </c>
      <c r="AR11" s="8">
        <v>2790</v>
      </c>
      <c r="AS11" s="8">
        <v>2070</v>
      </c>
      <c r="AT11">
        <v>4766227</v>
      </c>
      <c r="AU11" s="8" t="s">
        <v>66</v>
      </c>
      <c r="AW11" s="8">
        <v>0</v>
      </c>
    </row>
    <row r="12" spans="1:49" x14ac:dyDescent="0.25">
      <c r="A12" t="s">
        <v>91</v>
      </c>
      <c r="B12">
        <v>4766230</v>
      </c>
      <c r="C12" t="s">
        <v>58</v>
      </c>
      <c r="D12">
        <v>19</v>
      </c>
      <c r="E12">
        <v>1</v>
      </c>
      <c r="F12">
        <v>14.19</v>
      </c>
      <c r="G12">
        <v>750</v>
      </c>
      <c r="J12" t="s">
        <v>92</v>
      </c>
      <c r="K12" s="8">
        <v>1</v>
      </c>
      <c r="L12" s="8">
        <v>1</v>
      </c>
      <c r="M12" t="str">
        <f t="shared" si="0"/>
        <v>Melamine-F323-Cobra bronze-ST20 19 mm</v>
      </c>
      <c r="N12" s="8">
        <v>0</v>
      </c>
      <c r="O12" s="8">
        <v>1</v>
      </c>
      <c r="P12" s="8">
        <v>0</v>
      </c>
      <c r="Q12" s="8" t="s">
        <v>61</v>
      </c>
      <c r="R12" s="8" t="s">
        <v>62</v>
      </c>
      <c r="AB12" t="s">
        <v>93</v>
      </c>
      <c r="AD12" t="s">
        <v>94</v>
      </c>
      <c r="AE12" s="8">
        <v>1</v>
      </c>
      <c r="AF12" s="8">
        <v>0</v>
      </c>
      <c r="AG12" s="8" t="s">
        <v>65</v>
      </c>
      <c r="AH12" s="8">
        <v>1</v>
      </c>
      <c r="AI12" s="8">
        <v>1</v>
      </c>
      <c r="AJ12" s="8">
        <v>1</v>
      </c>
      <c r="AK12" s="8">
        <v>1</v>
      </c>
      <c r="AR12" s="8">
        <v>2790</v>
      </c>
      <c r="AS12" s="8">
        <v>2070</v>
      </c>
      <c r="AT12">
        <v>4766229</v>
      </c>
      <c r="AU12" s="8" t="s">
        <v>66</v>
      </c>
      <c r="AW12" s="8">
        <v>0</v>
      </c>
    </row>
    <row r="13" spans="1:49" x14ac:dyDescent="0.25">
      <c r="A13" t="s">
        <v>95</v>
      </c>
      <c r="B13">
        <v>7786369</v>
      </c>
      <c r="C13" t="s">
        <v>58</v>
      </c>
      <c r="D13">
        <v>19</v>
      </c>
      <c r="E13">
        <v>0</v>
      </c>
      <c r="F13">
        <v>15.79</v>
      </c>
      <c r="G13">
        <v>750</v>
      </c>
      <c r="J13" t="s">
        <v>96</v>
      </c>
      <c r="K13" s="8">
        <v>1</v>
      </c>
      <c r="L13" s="8">
        <v>1</v>
      </c>
      <c r="M13" t="str">
        <f t="shared" si="0"/>
        <v>Melamine-F416-Textile beige-ST10 19 mm</v>
      </c>
      <c r="N13" s="8">
        <v>0</v>
      </c>
      <c r="O13" s="8">
        <v>1</v>
      </c>
      <c r="P13" s="8">
        <v>0</v>
      </c>
      <c r="Q13" s="8" t="s">
        <v>61</v>
      </c>
      <c r="R13" s="8" t="s">
        <v>62</v>
      </c>
      <c r="AB13" t="s">
        <v>97</v>
      </c>
      <c r="AD13" t="s">
        <v>98</v>
      </c>
      <c r="AE13" s="8">
        <v>1</v>
      </c>
      <c r="AF13" s="8">
        <v>0</v>
      </c>
      <c r="AG13" s="8" t="s">
        <v>65</v>
      </c>
      <c r="AH13" s="8">
        <v>1</v>
      </c>
      <c r="AI13" s="8">
        <v>1</v>
      </c>
      <c r="AJ13" s="8">
        <v>1</v>
      </c>
      <c r="AK13" s="8">
        <v>1</v>
      </c>
      <c r="AR13" s="8">
        <v>2790</v>
      </c>
      <c r="AS13" s="8">
        <v>2070</v>
      </c>
      <c r="AT13">
        <v>7786369</v>
      </c>
      <c r="AU13" s="8" t="s">
        <v>66</v>
      </c>
      <c r="AW13" s="8">
        <v>0</v>
      </c>
    </row>
    <row r="14" spans="1:49" x14ac:dyDescent="0.25">
      <c r="A14" t="s">
        <v>99</v>
      </c>
      <c r="B14">
        <v>7786370</v>
      </c>
      <c r="C14" t="s">
        <v>58</v>
      </c>
      <c r="D14">
        <v>19</v>
      </c>
      <c r="E14">
        <v>0</v>
      </c>
      <c r="F14">
        <v>11.83</v>
      </c>
      <c r="G14">
        <v>750</v>
      </c>
      <c r="J14" t="s">
        <v>100</v>
      </c>
      <c r="K14" s="8">
        <v>1</v>
      </c>
      <c r="L14" s="8">
        <v>1</v>
      </c>
      <c r="M14" t="str">
        <f t="shared" si="0"/>
        <v>Melamine-F417-Textile gris-ST10 19 mm</v>
      </c>
      <c r="N14" s="8">
        <v>0</v>
      </c>
      <c r="O14" s="8">
        <v>1</v>
      </c>
      <c r="P14" s="8">
        <v>0</v>
      </c>
      <c r="Q14" s="8" t="s">
        <v>61</v>
      </c>
      <c r="R14" s="8" t="s">
        <v>62</v>
      </c>
      <c r="AB14" t="s">
        <v>101</v>
      </c>
      <c r="AD14" t="s">
        <v>102</v>
      </c>
      <c r="AE14" s="8">
        <v>1</v>
      </c>
      <c r="AF14" s="8">
        <v>0</v>
      </c>
      <c r="AG14" s="8" t="s">
        <v>65</v>
      </c>
      <c r="AH14" s="8">
        <v>1</v>
      </c>
      <c r="AI14" s="8">
        <v>1</v>
      </c>
      <c r="AJ14" s="8">
        <v>1</v>
      </c>
      <c r="AK14" s="8">
        <v>1</v>
      </c>
      <c r="AR14" s="8">
        <v>2790</v>
      </c>
      <c r="AS14" s="8">
        <v>2070</v>
      </c>
      <c r="AT14">
        <v>7787178</v>
      </c>
      <c r="AU14" s="8" t="s">
        <v>66</v>
      </c>
      <c r="AW14" s="8">
        <v>0</v>
      </c>
    </row>
    <row r="15" spans="1:49" x14ac:dyDescent="0.25">
      <c r="A15" t="s">
        <v>103</v>
      </c>
      <c r="B15">
        <v>4766233</v>
      </c>
      <c r="C15" t="s">
        <v>58</v>
      </c>
      <c r="D15">
        <v>19</v>
      </c>
      <c r="E15">
        <v>0</v>
      </c>
      <c r="F15">
        <v>15.79</v>
      </c>
      <c r="G15">
        <v>750</v>
      </c>
      <c r="J15" t="s">
        <v>104</v>
      </c>
      <c r="K15" s="8">
        <v>1</v>
      </c>
      <c r="L15" s="8">
        <v>1</v>
      </c>
      <c r="M15" t="str">
        <f t="shared" si="0"/>
        <v>Melamine-F422-Lin blanc-ST10 19 mm</v>
      </c>
      <c r="N15" s="8">
        <v>0</v>
      </c>
      <c r="O15" s="8">
        <v>1</v>
      </c>
      <c r="P15" s="8">
        <v>0</v>
      </c>
      <c r="Q15" s="8" t="s">
        <v>61</v>
      </c>
      <c r="R15" s="8" t="s">
        <v>62</v>
      </c>
      <c r="AB15" t="s">
        <v>105</v>
      </c>
      <c r="AD15" t="s">
        <v>106</v>
      </c>
      <c r="AE15" s="8">
        <v>1</v>
      </c>
      <c r="AF15" s="8">
        <v>0</v>
      </c>
      <c r="AG15" s="8" t="s">
        <v>65</v>
      </c>
      <c r="AH15" s="8">
        <v>1</v>
      </c>
      <c r="AI15" s="8">
        <v>1</v>
      </c>
      <c r="AJ15" s="8">
        <v>1</v>
      </c>
      <c r="AK15" s="8">
        <v>1</v>
      </c>
      <c r="AR15" s="8">
        <v>2790</v>
      </c>
      <c r="AS15" s="8">
        <v>2070</v>
      </c>
      <c r="AT15">
        <v>4766233</v>
      </c>
      <c r="AU15" s="8" t="s">
        <v>66</v>
      </c>
      <c r="AW15" s="8">
        <v>0</v>
      </c>
    </row>
    <row r="16" spans="1:49" x14ac:dyDescent="0.25">
      <c r="A16" t="s">
        <v>107</v>
      </c>
      <c r="B16">
        <v>7786371</v>
      </c>
      <c r="C16" t="s">
        <v>58</v>
      </c>
      <c r="D16">
        <v>19</v>
      </c>
      <c r="E16">
        <v>0</v>
      </c>
      <c r="F16">
        <v>15.79</v>
      </c>
      <c r="G16">
        <v>750</v>
      </c>
      <c r="J16" t="s">
        <v>108</v>
      </c>
      <c r="K16" s="8">
        <v>1</v>
      </c>
      <c r="L16" s="8">
        <v>1</v>
      </c>
      <c r="M16" t="str">
        <f t="shared" si="0"/>
        <v>Melamine-F424-Lin taupe-ST10 19 mm</v>
      </c>
      <c r="N16" s="8">
        <v>0</v>
      </c>
      <c r="O16" s="8">
        <v>1</v>
      </c>
      <c r="P16" s="8">
        <v>0</v>
      </c>
      <c r="Q16" s="8" t="s">
        <v>61</v>
      </c>
      <c r="R16" s="8" t="s">
        <v>62</v>
      </c>
      <c r="AB16" t="s">
        <v>109</v>
      </c>
      <c r="AD16" t="s">
        <v>110</v>
      </c>
      <c r="AE16" s="8">
        <v>1</v>
      </c>
      <c r="AF16" s="8">
        <v>0</v>
      </c>
      <c r="AG16" s="8" t="s">
        <v>65</v>
      </c>
      <c r="AH16" s="8">
        <v>1</v>
      </c>
      <c r="AI16" s="8">
        <v>1</v>
      </c>
      <c r="AJ16" s="8">
        <v>1</v>
      </c>
      <c r="AK16" s="8">
        <v>1</v>
      </c>
      <c r="AR16" s="8">
        <v>2790</v>
      </c>
      <c r="AS16" s="8">
        <v>2070</v>
      </c>
      <c r="AT16">
        <v>7786371</v>
      </c>
      <c r="AU16" s="8" t="s">
        <v>66</v>
      </c>
      <c r="AW16" s="8">
        <v>0</v>
      </c>
    </row>
    <row r="17" spans="1:49" x14ac:dyDescent="0.25">
      <c r="A17" t="s">
        <v>111</v>
      </c>
      <c r="B17">
        <v>7786372</v>
      </c>
      <c r="C17" t="s">
        <v>58</v>
      </c>
      <c r="D17">
        <v>19</v>
      </c>
      <c r="E17">
        <v>0</v>
      </c>
      <c r="F17">
        <v>11.83</v>
      </c>
      <c r="G17">
        <v>750</v>
      </c>
      <c r="J17" t="s">
        <v>112</v>
      </c>
      <c r="K17" s="8">
        <v>1</v>
      </c>
      <c r="L17" s="8">
        <v>1</v>
      </c>
      <c r="M17" t="str">
        <f t="shared" si="0"/>
        <v>Melamine-F433-Lin anthracite-ST10 19 mm</v>
      </c>
      <c r="N17" s="8">
        <v>0</v>
      </c>
      <c r="O17" s="8">
        <v>1</v>
      </c>
      <c r="P17" s="8">
        <v>0</v>
      </c>
      <c r="Q17" s="8" t="s">
        <v>61</v>
      </c>
      <c r="R17" s="8" t="s">
        <v>62</v>
      </c>
      <c r="AB17" t="s">
        <v>113</v>
      </c>
      <c r="AD17" t="s">
        <v>114</v>
      </c>
      <c r="AE17" s="8">
        <v>1</v>
      </c>
      <c r="AF17" s="8">
        <v>0</v>
      </c>
      <c r="AG17" s="8" t="s">
        <v>65</v>
      </c>
      <c r="AH17" s="8">
        <v>1</v>
      </c>
      <c r="AI17" s="8">
        <v>1</v>
      </c>
      <c r="AJ17" s="8">
        <v>1</v>
      </c>
      <c r="AK17" s="8">
        <v>1</v>
      </c>
      <c r="AR17" s="8">
        <v>2790</v>
      </c>
      <c r="AS17" s="8">
        <v>2070</v>
      </c>
      <c r="AT17">
        <v>7787180</v>
      </c>
      <c r="AU17" s="8" t="s">
        <v>66</v>
      </c>
      <c r="AW17" s="8">
        <v>0</v>
      </c>
    </row>
    <row r="18" spans="1:49" x14ac:dyDescent="0.25">
      <c r="A18" t="s">
        <v>115</v>
      </c>
      <c r="B18">
        <v>7786373</v>
      </c>
      <c r="C18" t="s">
        <v>58</v>
      </c>
      <c r="D18">
        <v>19</v>
      </c>
      <c r="E18">
        <v>0</v>
      </c>
      <c r="F18">
        <v>14.19</v>
      </c>
      <c r="G18">
        <v>750</v>
      </c>
      <c r="J18" t="s">
        <v>116</v>
      </c>
      <c r="K18" s="8">
        <v>1</v>
      </c>
      <c r="L18" s="8">
        <v>1</v>
      </c>
      <c r="M18" t="str">
        <f t="shared" si="0"/>
        <v>Melamine-F434-Acier brosse cubanite-ST20 19 mm</v>
      </c>
      <c r="N18" s="8">
        <v>0</v>
      </c>
      <c r="O18" s="8">
        <v>1</v>
      </c>
      <c r="P18" s="8">
        <v>0</v>
      </c>
      <c r="Q18" s="8" t="s">
        <v>61</v>
      </c>
      <c r="R18" s="8" t="s">
        <v>62</v>
      </c>
      <c r="AB18" t="s">
        <v>117</v>
      </c>
      <c r="AD18" t="s">
        <v>118</v>
      </c>
      <c r="AE18" s="8">
        <v>1</v>
      </c>
      <c r="AF18" s="8">
        <v>0</v>
      </c>
      <c r="AG18" s="8" t="s">
        <v>65</v>
      </c>
      <c r="AH18" s="8">
        <v>1</v>
      </c>
      <c r="AI18" s="8">
        <v>1</v>
      </c>
      <c r="AJ18" s="8">
        <v>1</v>
      </c>
      <c r="AK18" s="8">
        <v>1</v>
      </c>
      <c r="AR18" s="8">
        <v>2790</v>
      </c>
      <c r="AS18" s="8">
        <v>2070</v>
      </c>
      <c r="AT18">
        <v>7787181</v>
      </c>
      <c r="AU18" s="8" t="s">
        <v>66</v>
      </c>
      <c r="AW18" s="8">
        <v>0</v>
      </c>
    </row>
    <row r="19" spans="1:49" x14ac:dyDescent="0.25">
      <c r="A19" t="s">
        <v>119</v>
      </c>
      <c r="B19">
        <v>7786377</v>
      </c>
      <c r="C19" t="s">
        <v>58</v>
      </c>
      <c r="D19">
        <v>19</v>
      </c>
      <c r="E19">
        <v>0</v>
      </c>
      <c r="F19">
        <v>14.23</v>
      </c>
      <c r="G19">
        <v>750</v>
      </c>
      <c r="J19" t="s">
        <v>120</v>
      </c>
      <c r="K19" s="8">
        <v>1</v>
      </c>
      <c r="L19" s="8">
        <v>1</v>
      </c>
      <c r="M19" t="str">
        <f t="shared" si="0"/>
        <v>Melamine-F500-Metallic inox-ST20 19 mm</v>
      </c>
      <c r="N19" s="8">
        <v>0</v>
      </c>
      <c r="O19" s="8">
        <v>1</v>
      </c>
      <c r="P19" s="8">
        <v>0</v>
      </c>
      <c r="Q19" s="8" t="s">
        <v>61</v>
      </c>
      <c r="R19" s="8" t="s">
        <v>62</v>
      </c>
      <c r="AB19" t="s">
        <v>121</v>
      </c>
      <c r="AD19" t="s">
        <v>122</v>
      </c>
      <c r="AE19" s="8">
        <v>1</v>
      </c>
      <c r="AF19" s="8">
        <v>0</v>
      </c>
      <c r="AG19" s="8" t="s">
        <v>65</v>
      </c>
      <c r="AH19" s="8">
        <v>1</v>
      </c>
      <c r="AI19" s="8">
        <v>1</v>
      </c>
      <c r="AJ19" s="8">
        <v>1</v>
      </c>
      <c r="AK19" s="8">
        <v>1</v>
      </c>
      <c r="AR19" s="8">
        <v>2790</v>
      </c>
      <c r="AS19" s="8">
        <v>2070</v>
      </c>
      <c r="AT19">
        <v>7786377</v>
      </c>
      <c r="AU19" s="8" t="s">
        <v>66</v>
      </c>
      <c r="AW19" s="8">
        <v>0</v>
      </c>
    </row>
    <row r="20" spans="1:49" x14ac:dyDescent="0.25">
      <c r="A20" t="s">
        <v>123</v>
      </c>
      <c r="B20">
        <v>4766236</v>
      </c>
      <c r="C20" t="s">
        <v>58</v>
      </c>
      <c r="D20">
        <v>19</v>
      </c>
      <c r="E20">
        <v>1</v>
      </c>
      <c r="F20">
        <v>14.19</v>
      </c>
      <c r="G20">
        <v>750</v>
      </c>
      <c r="J20" t="s">
        <v>124</v>
      </c>
      <c r="K20" s="8">
        <v>1</v>
      </c>
      <c r="L20" s="8">
        <v>1</v>
      </c>
      <c r="M20" t="str">
        <f t="shared" si="0"/>
        <v>Melamine-F527-Metal brosse or-ST20 19 mm</v>
      </c>
      <c r="N20" s="8">
        <v>0</v>
      </c>
      <c r="O20" s="8">
        <v>1</v>
      </c>
      <c r="P20" s="8">
        <v>0</v>
      </c>
      <c r="Q20" s="8" t="s">
        <v>61</v>
      </c>
      <c r="R20" s="8" t="s">
        <v>62</v>
      </c>
      <c r="AB20" t="s">
        <v>125</v>
      </c>
      <c r="AD20" t="s">
        <v>126</v>
      </c>
      <c r="AE20" s="8">
        <v>1</v>
      </c>
      <c r="AF20" s="8">
        <v>0</v>
      </c>
      <c r="AG20" s="8" t="s">
        <v>65</v>
      </c>
      <c r="AH20" s="8">
        <v>1</v>
      </c>
      <c r="AI20" s="8">
        <v>1</v>
      </c>
      <c r="AJ20" s="8">
        <v>1</v>
      </c>
      <c r="AK20" s="8">
        <v>1</v>
      </c>
      <c r="AR20" s="8">
        <v>2790</v>
      </c>
      <c r="AS20" s="8">
        <v>2070</v>
      </c>
      <c r="AT20">
        <v>4766235</v>
      </c>
      <c r="AU20" s="8" t="s">
        <v>66</v>
      </c>
      <c r="AW20" s="8">
        <v>0</v>
      </c>
    </row>
    <row r="21" spans="1:49" x14ac:dyDescent="0.25">
      <c r="A21" t="s">
        <v>127</v>
      </c>
      <c r="B21">
        <v>4766239</v>
      </c>
      <c r="C21" t="s">
        <v>58</v>
      </c>
      <c r="D21">
        <v>19</v>
      </c>
      <c r="E21">
        <v>1</v>
      </c>
      <c r="F21">
        <v>14.19</v>
      </c>
      <c r="G21">
        <v>750</v>
      </c>
      <c r="J21" t="s">
        <v>128</v>
      </c>
      <c r="K21" s="8">
        <v>1</v>
      </c>
      <c r="L21" s="8">
        <v>1</v>
      </c>
      <c r="M21" t="str">
        <f t="shared" si="0"/>
        <v>Melamine-F528-Metal brosse bronze-ST20 19 mm</v>
      </c>
      <c r="N21" s="8">
        <v>0</v>
      </c>
      <c r="O21" s="8">
        <v>1</v>
      </c>
      <c r="P21" s="8">
        <v>0</v>
      </c>
      <c r="Q21" s="8" t="s">
        <v>61</v>
      </c>
      <c r="R21" s="8" t="s">
        <v>62</v>
      </c>
      <c r="AB21" t="s">
        <v>129</v>
      </c>
      <c r="AD21" t="s">
        <v>130</v>
      </c>
      <c r="AE21" s="8">
        <v>1</v>
      </c>
      <c r="AF21" s="8">
        <v>0</v>
      </c>
      <c r="AG21" s="8" t="s">
        <v>65</v>
      </c>
      <c r="AH21" s="8">
        <v>1</v>
      </c>
      <c r="AI21" s="8">
        <v>1</v>
      </c>
      <c r="AJ21" s="8">
        <v>1</v>
      </c>
      <c r="AK21" s="8">
        <v>1</v>
      </c>
      <c r="AR21" s="8">
        <v>2790</v>
      </c>
      <c r="AS21" s="8">
        <v>2070</v>
      </c>
      <c r="AT21">
        <v>4766238</v>
      </c>
      <c r="AU21" s="8" t="s">
        <v>66</v>
      </c>
      <c r="AW21" s="8">
        <v>0</v>
      </c>
    </row>
    <row r="22" spans="1:49" x14ac:dyDescent="0.25">
      <c r="A22" t="s">
        <v>131</v>
      </c>
      <c r="B22">
        <v>4766242</v>
      </c>
      <c r="C22" t="s">
        <v>58</v>
      </c>
      <c r="D22">
        <v>19</v>
      </c>
      <c r="E22">
        <v>0</v>
      </c>
      <c r="F22">
        <v>14.19</v>
      </c>
      <c r="G22">
        <v>750</v>
      </c>
      <c r="J22" t="s">
        <v>132</v>
      </c>
      <c r="K22" s="8">
        <v>1</v>
      </c>
      <c r="L22" s="8">
        <v>1</v>
      </c>
      <c r="M22" t="str">
        <f t="shared" si="0"/>
        <v>Melamine-F634-Canevas gris-ST76 19 mm</v>
      </c>
      <c r="N22" s="8">
        <v>0</v>
      </c>
      <c r="O22" s="8">
        <v>1</v>
      </c>
      <c r="P22" s="8">
        <v>0</v>
      </c>
      <c r="Q22" s="8" t="s">
        <v>61</v>
      </c>
      <c r="R22" s="8" t="s">
        <v>62</v>
      </c>
      <c r="AB22" t="s">
        <v>133</v>
      </c>
      <c r="AD22" t="s">
        <v>134</v>
      </c>
      <c r="AE22" s="8">
        <v>1</v>
      </c>
      <c r="AF22" s="8">
        <v>0</v>
      </c>
      <c r="AG22" s="8" t="s">
        <v>65</v>
      </c>
      <c r="AH22" s="8">
        <v>1</v>
      </c>
      <c r="AI22" s="8">
        <v>1</v>
      </c>
      <c r="AJ22" s="8">
        <v>1</v>
      </c>
      <c r="AK22" s="8">
        <v>1</v>
      </c>
      <c r="AR22" s="8">
        <v>2790</v>
      </c>
      <c r="AS22" s="8">
        <v>2070</v>
      </c>
      <c r="AT22">
        <v>4766241</v>
      </c>
      <c r="AU22" s="8" t="s">
        <v>66</v>
      </c>
      <c r="AW22" s="8">
        <v>0</v>
      </c>
    </row>
    <row r="23" spans="1:49" x14ac:dyDescent="0.25">
      <c r="A23" t="s">
        <v>135</v>
      </c>
      <c r="B23">
        <v>4766245</v>
      </c>
      <c r="C23" t="s">
        <v>58</v>
      </c>
      <c r="D23">
        <v>19</v>
      </c>
      <c r="E23">
        <v>0</v>
      </c>
      <c r="F23">
        <v>14.19</v>
      </c>
      <c r="G23">
        <v>750</v>
      </c>
      <c r="J23" t="s">
        <v>136</v>
      </c>
      <c r="K23" s="8">
        <v>1</v>
      </c>
      <c r="L23" s="8">
        <v>1</v>
      </c>
      <c r="M23" t="str">
        <f t="shared" si="0"/>
        <v>Melamine-F635-Canevas anthracite-ST76 19 mm</v>
      </c>
      <c r="N23" s="8">
        <v>0</v>
      </c>
      <c r="O23" s="8">
        <v>1</v>
      </c>
      <c r="P23" s="8">
        <v>0</v>
      </c>
      <c r="Q23" s="8" t="s">
        <v>61</v>
      </c>
      <c r="R23" s="8" t="s">
        <v>62</v>
      </c>
      <c r="AB23" t="s">
        <v>137</v>
      </c>
      <c r="AD23" t="s">
        <v>138</v>
      </c>
      <c r="AE23" s="8">
        <v>1</v>
      </c>
      <c r="AF23" s="8">
        <v>0</v>
      </c>
      <c r="AG23" s="8" t="s">
        <v>65</v>
      </c>
      <c r="AH23" s="8">
        <v>1</v>
      </c>
      <c r="AI23" s="8">
        <v>1</v>
      </c>
      <c r="AJ23" s="8">
        <v>1</v>
      </c>
      <c r="AK23" s="8">
        <v>1</v>
      </c>
      <c r="AR23" s="8">
        <v>2790</v>
      </c>
      <c r="AS23" s="8">
        <v>2070</v>
      </c>
      <c r="AT23">
        <v>4766244</v>
      </c>
      <c r="AU23" s="8" t="s">
        <v>66</v>
      </c>
      <c r="AW23" s="8">
        <v>0</v>
      </c>
    </row>
    <row r="24" spans="1:49" x14ac:dyDescent="0.25">
      <c r="A24" t="s">
        <v>139</v>
      </c>
      <c r="B24">
        <v>4751099</v>
      </c>
      <c r="C24" t="s">
        <v>58</v>
      </c>
      <c r="D24">
        <v>19</v>
      </c>
      <c r="E24">
        <v>1</v>
      </c>
      <c r="F24">
        <v>15.79</v>
      </c>
      <c r="G24">
        <v>750</v>
      </c>
      <c r="J24" t="s">
        <v>140</v>
      </c>
      <c r="K24" s="8">
        <v>1</v>
      </c>
      <c r="L24" s="8">
        <v>1</v>
      </c>
      <c r="M24" t="str">
        <f t="shared" si="0"/>
        <v>Melamine-F637-Chromix blanc-ST10 19 mm</v>
      </c>
      <c r="N24" s="8">
        <v>0</v>
      </c>
      <c r="O24" s="8">
        <v>1</v>
      </c>
      <c r="P24" s="8">
        <v>0</v>
      </c>
      <c r="Q24" s="8" t="s">
        <v>61</v>
      </c>
      <c r="R24" s="8" t="s">
        <v>62</v>
      </c>
      <c r="AB24" t="s">
        <v>141</v>
      </c>
      <c r="AD24" t="s">
        <v>142</v>
      </c>
      <c r="AE24" s="8">
        <v>1</v>
      </c>
      <c r="AF24" s="8">
        <v>0</v>
      </c>
      <c r="AG24" s="8" t="s">
        <v>65</v>
      </c>
      <c r="AH24" s="8">
        <v>1</v>
      </c>
      <c r="AI24" s="8">
        <v>1</v>
      </c>
      <c r="AJ24" s="8">
        <v>1</v>
      </c>
      <c r="AK24" s="8">
        <v>1</v>
      </c>
      <c r="AR24" s="8">
        <v>2790</v>
      </c>
      <c r="AS24" s="8">
        <v>2070</v>
      </c>
      <c r="AT24">
        <v>4751099</v>
      </c>
      <c r="AU24" s="8" t="s">
        <v>66</v>
      </c>
      <c r="AW24" s="8">
        <v>0</v>
      </c>
    </row>
    <row r="25" spans="1:49" x14ac:dyDescent="0.25">
      <c r="A25" t="s">
        <v>143</v>
      </c>
      <c r="B25">
        <v>4751109</v>
      </c>
      <c r="C25" t="s">
        <v>58</v>
      </c>
      <c r="D25">
        <v>19</v>
      </c>
      <c r="E25">
        <v>1</v>
      </c>
      <c r="F25">
        <v>15.79</v>
      </c>
      <c r="G25">
        <v>750</v>
      </c>
      <c r="J25" t="s">
        <v>144</v>
      </c>
      <c r="K25" s="8">
        <v>1</v>
      </c>
      <c r="L25" s="8">
        <v>1</v>
      </c>
      <c r="M25" t="str">
        <f t="shared" si="0"/>
        <v>Melamine-F638-Chromix argent-ST10 19 mm</v>
      </c>
      <c r="N25" s="8">
        <v>0</v>
      </c>
      <c r="O25" s="8">
        <v>1</v>
      </c>
      <c r="P25" s="8">
        <v>0</v>
      </c>
      <c r="Q25" s="8" t="s">
        <v>61</v>
      </c>
      <c r="R25" s="8" t="s">
        <v>62</v>
      </c>
      <c r="AB25" t="s">
        <v>145</v>
      </c>
      <c r="AD25" t="s">
        <v>146</v>
      </c>
      <c r="AE25" s="8">
        <v>1</v>
      </c>
      <c r="AF25" s="8">
        <v>0</v>
      </c>
      <c r="AG25" s="8" t="s">
        <v>65</v>
      </c>
      <c r="AH25" s="8">
        <v>1</v>
      </c>
      <c r="AI25" s="8">
        <v>1</v>
      </c>
      <c r="AJ25" s="8">
        <v>1</v>
      </c>
      <c r="AK25" s="8">
        <v>1</v>
      </c>
      <c r="AR25" s="8">
        <v>2790</v>
      </c>
      <c r="AS25" s="8">
        <v>2070</v>
      </c>
      <c r="AT25">
        <v>4751109</v>
      </c>
      <c r="AU25" s="8" t="s">
        <v>66</v>
      </c>
      <c r="AW25" s="8">
        <v>0</v>
      </c>
    </row>
    <row r="26" spans="1:49" x14ac:dyDescent="0.25">
      <c r="A26" t="s">
        <v>147</v>
      </c>
      <c r="B26">
        <v>4766248</v>
      </c>
      <c r="C26" t="s">
        <v>58</v>
      </c>
      <c r="D26">
        <v>19</v>
      </c>
      <c r="E26">
        <v>1</v>
      </c>
      <c r="F26">
        <v>11.83</v>
      </c>
      <c r="G26">
        <v>750</v>
      </c>
      <c r="J26" t="s">
        <v>148</v>
      </c>
      <c r="K26" s="8">
        <v>1</v>
      </c>
      <c r="L26" s="8">
        <v>1</v>
      </c>
      <c r="M26" t="str">
        <f t="shared" si="0"/>
        <v>Melamine-F685-Acapulco-ST10 19 mm</v>
      </c>
      <c r="N26" s="8">
        <v>0</v>
      </c>
      <c r="O26" s="8">
        <v>1</v>
      </c>
      <c r="P26" s="8">
        <v>0</v>
      </c>
      <c r="Q26" s="8" t="s">
        <v>61</v>
      </c>
      <c r="R26" s="8" t="s">
        <v>62</v>
      </c>
      <c r="AB26" t="s">
        <v>149</v>
      </c>
      <c r="AD26" t="s">
        <v>150</v>
      </c>
      <c r="AE26" s="8">
        <v>1</v>
      </c>
      <c r="AF26" s="8">
        <v>0</v>
      </c>
      <c r="AG26" s="8" t="s">
        <v>65</v>
      </c>
      <c r="AH26" s="8">
        <v>1</v>
      </c>
      <c r="AI26" s="8">
        <v>1</v>
      </c>
      <c r="AJ26" s="8">
        <v>1</v>
      </c>
      <c r="AK26" s="8">
        <v>1</v>
      </c>
      <c r="AR26" s="8">
        <v>2790</v>
      </c>
      <c r="AS26" s="8">
        <v>2070</v>
      </c>
      <c r="AT26">
        <v>4766247</v>
      </c>
      <c r="AU26" s="8" t="s">
        <v>66</v>
      </c>
      <c r="AW26" s="8">
        <v>0</v>
      </c>
    </row>
    <row r="27" spans="1:49" x14ac:dyDescent="0.25">
      <c r="A27" t="s">
        <v>151</v>
      </c>
      <c r="B27">
        <v>4766251</v>
      </c>
      <c r="C27" t="s">
        <v>58</v>
      </c>
      <c r="D27">
        <v>19</v>
      </c>
      <c r="E27">
        <v>0</v>
      </c>
      <c r="F27">
        <v>14.23</v>
      </c>
      <c r="G27">
        <v>750</v>
      </c>
      <c r="J27" t="s">
        <v>152</v>
      </c>
      <c r="K27" s="8">
        <v>1</v>
      </c>
      <c r="L27" s="8">
        <v>1</v>
      </c>
      <c r="M27" t="str">
        <f t="shared" si="0"/>
        <v>Melamine-F765-Gris argent brosse-ST20 19 mm</v>
      </c>
      <c r="N27" s="8">
        <v>0</v>
      </c>
      <c r="O27" s="8">
        <v>1</v>
      </c>
      <c r="P27" s="8">
        <v>0</v>
      </c>
      <c r="Q27" s="8" t="s">
        <v>61</v>
      </c>
      <c r="R27" s="8" t="s">
        <v>62</v>
      </c>
      <c r="AB27" t="s">
        <v>153</v>
      </c>
      <c r="AD27" t="s">
        <v>154</v>
      </c>
      <c r="AE27" s="8">
        <v>1</v>
      </c>
      <c r="AF27" s="8">
        <v>0</v>
      </c>
      <c r="AG27" s="8" t="s">
        <v>65</v>
      </c>
      <c r="AH27" s="8">
        <v>1</v>
      </c>
      <c r="AI27" s="8">
        <v>1</v>
      </c>
      <c r="AJ27" s="8">
        <v>1</v>
      </c>
      <c r="AK27" s="8">
        <v>1</v>
      </c>
      <c r="AR27" s="8">
        <v>2790</v>
      </c>
      <c r="AS27" s="8">
        <v>2070</v>
      </c>
      <c r="AT27">
        <v>4766251</v>
      </c>
      <c r="AU27" s="8" t="s">
        <v>66</v>
      </c>
      <c r="AW27" s="8">
        <v>0</v>
      </c>
    </row>
    <row r="28" spans="1:49" x14ac:dyDescent="0.25">
      <c r="A28" t="s">
        <v>155</v>
      </c>
      <c r="B28">
        <v>4766254</v>
      </c>
      <c r="C28" t="s">
        <v>58</v>
      </c>
      <c r="D28">
        <v>19</v>
      </c>
      <c r="E28">
        <v>1</v>
      </c>
      <c r="F28">
        <v>11.83</v>
      </c>
      <c r="G28">
        <v>750</v>
      </c>
      <c r="J28" t="s">
        <v>156</v>
      </c>
      <c r="K28" s="8">
        <v>1</v>
      </c>
      <c r="L28" s="8">
        <v>1</v>
      </c>
      <c r="M28" t="str">
        <f t="shared" si="0"/>
        <v>Melamine-F800-Marbre cristal-ST9 19 mm</v>
      </c>
      <c r="N28" s="8">
        <v>0</v>
      </c>
      <c r="O28" s="8">
        <v>1</v>
      </c>
      <c r="P28" s="8">
        <v>0</v>
      </c>
      <c r="Q28" s="8" t="s">
        <v>61</v>
      </c>
      <c r="R28" s="8" t="s">
        <v>62</v>
      </c>
      <c r="AB28" t="s">
        <v>157</v>
      </c>
      <c r="AD28" t="s">
        <v>158</v>
      </c>
      <c r="AE28" s="8">
        <v>1</v>
      </c>
      <c r="AF28" s="8">
        <v>0</v>
      </c>
      <c r="AG28" s="8" t="s">
        <v>65</v>
      </c>
      <c r="AH28" s="8">
        <v>1</v>
      </c>
      <c r="AI28" s="8">
        <v>1</v>
      </c>
      <c r="AJ28" s="8">
        <v>1</v>
      </c>
      <c r="AK28" s="8">
        <v>1</v>
      </c>
      <c r="AR28" s="8">
        <v>2790</v>
      </c>
      <c r="AS28" s="8">
        <v>2070</v>
      </c>
      <c r="AT28">
        <v>4766253</v>
      </c>
      <c r="AU28" s="8" t="s">
        <v>66</v>
      </c>
      <c r="AW28" s="8">
        <v>0</v>
      </c>
    </row>
    <row r="29" spans="1:49" x14ac:dyDescent="0.25">
      <c r="A29" t="s">
        <v>159</v>
      </c>
      <c r="B29">
        <v>7786386</v>
      </c>
      <c r="C29" t="s">
        <v>58</v>
      </c>
      <c r="D29">
        <v>19</v>
      </c>
      <c r="E29">
        <v>1</v>
      </c>
      <c r="F29">
        <v>15.79</v>
      </c>
      <c r="G29">
        <v>750</v>
      </c>
      <c r="J29" t="s">
        <v>160</v>
      </c>
      <c r="K29" s="8">
        <v>1</v>
      </c>
      <c r="L29" s="8">
        <v>1</v>
      </c>
      <c r="M29" t="str">
        <f t="shared" si="0"/>
        <v>Melamine-F812-Marbre Levanto blanc-ST9 19 mm</v>
      </c>
      <c r="N29" s="8">
        <v>0</v>
      </c>
      <c r="O29" s="8">
        <v>1</v>
      </c>
      <c r="P29" s="8">
        <v>0</v>
      </c>
      <c r="Q29" s="8" t="s">
        <v>61</v>
      </c>
      <c r="R29" s="8" t="s">
        <v>62</v>
      </c>
      <c r="AB29" t="s">
        <v>161</v>
      </c>
      <c r="AD29" t="s">
        <v>162</v>
      </c>
      <c r="AE29" s="8">
        <v>1</v>
      </c>
      <c r="AF29" s="8">
        <v>0</v>
      </c>
      <c r="AG29" s="8" t="s">
        <v>65</v>
      </c>
      <c r="AH29" s="8">
        <v>1</v>
      </c>
      <c r="AI29" s="8">
        <v>1</v>
      </c>
      <c r="AJ29" s="8">
        <v>1</v>
      </c>
      <c r="AK29" s="8">
        <v>1</v>
      </c>
      <c r="AR29" s="8">
        <v>2790</v>
      </c>
      <c r="AS29" s="8">
        <v>2070</v>
      </c>
      <c r="AT29">
        <v>7786386</v>
      </c>
      <c r="AU29" s="8" t="s">
        <v>66</v>
      </c>
      <c r="AW29" s="8">
        <v>0</v>
      </c>
    </row>
    <row r="30" spans="1:49" x14ac:dyDescent="0.25">
      <c r="A30" t="s">
        <v>163</v>
      </c>
      <c r="B30">
        <v>7786388</v>
      </c>
      <c r="C30" t="s">
        <v>58</v>
      </c>
      <c r="D30">
        <v>19</v>
      </c>
      <c r="E30">
        <v>1</v>
      </c>
      <c r="F30">
        <v>15.12</v>
      </c>
      <c r="G30">
        <v>750</v>
      </c>
      <c r="J30" t="s">
        <v>164</v>
      </c>
      <c r="K30" s="8">
        <v>1</v>
      </c>
      <c r="L30" s="8">
        <v>1</v>
      </c>
      <c r="M30" t="str">
        <f t="shared" si="0"/>
        <v>Melamine-H1113-Chene du Kansas marron-ST10 19 mm</v>
      </c>
      <c r="N30" s="8">
        <v>1</v>
      </c>
      <c r="O30" s="8">
        <v>1</v>
      </c>
      <c r="P30" s="8">
        <v>0</v>
      </c>
      <c r="Q30" s="8" t="s">
        <v>61</v>
      </c>
      <c r="R30" s="8" t="s">
        <v>62</v>
      </c>
      <c r="AB30" t="s">
        <v>165</v>
      </c>
      <c r="AD30" t="s">
        <v>166</v>
      </c>
      <c r="AE30" s="8">
        <v>1</v>
      </c>
      <c r="AF30" s="8">
        <v>0</v>
      </c>
      <c r="AG30" s="8" t="s">
        <v>65</v>
      </c>
      <c r="AH30" s="8">
        <v>1</v>
      </c>
      <c r="AI30" s="8">
        <v>1</v>
      </c>
      <c r="AJ30" s="8">
        <v>1</v>
      </c>
      <c r="AK30" s="8">
        <v>1</v>
      </c>
      <c r="AR30" s="8">
        <v>2790</v>
      </c>
      <c r="AS30" s="8">
        <v>2070</v>
      </c>
      <c r="AT30">
        <v>7786388</v>
      </c>
      <c r="AU30" s="8" t="s">
        <v>66</v>
      </c>
      <c r="AW30" s="8">
        <v>0</v>
      </c>
    </row>
    <row r="31" spans="1:49" x14ac:dyDescent="0.25">
      <c r="A31" t="s">
        <v>167</v>
      </c>
      <c r="B31">
        <v>4766257</v>
      </c>
      <c r="C31" t="s">
        <v>58</v>
      </c>
      <c r="D31">
        <v>19</v>
      </c>
      <c r="E31">
        <v>1</v>
      </c>
      <c r="F31">
        <v>21.16</v>
      </c>
      <c r="G31">
        <v>750</v>
      </c>
      <c r="J31" t="s">
        <v>168</v>
      </c>
      <c r="K31" s="8">
        <v>1</v>
      </c>
      <c r="L31" s="8">
        <v>1</v>
      </c>
      <c r="M31" t="str">
        <f t="shared" si="0"/>
        <v>Melamine-H1142-Chene Sacramento marron-ST36 19 mm</v>
      </c>
      <c r="N31" s="8">
        <v>1</v>
      </c>
      <c r="O31" s="8">
        <v>1</v>
      </c>
      <c r="P31" s="8">
        <v>0</v>
      </c>
      <c r="Q31" s="8" t="s">
        <v>61</v>
      </c>
      <c r="R31" s="8" t="s">
        <v>62</v>
      </c>
      <c r="AB31" t="s">
        <v>169</v>
      </c>
      <c r="AD31" t="s">
        <v>170</v>
      </c>
      <c r="AE31" s="8">
        <v>1</v>
      </c>
      <c r="AF31" s="8">
        <v>0</v>
      </c>
      <c r="AG31" s="8" t="s">
        <v>65</v>
      </c>
      <c r="AH31" s="8">
        <v>1</v>
      </c>
      <c r="AI31" s="8">
        <v>1</v>
      </c>
      <c r="AJ31" s="8">
        <v>1</v>
      </c>
      <c r="AK31" s="8">
        <v>1</v>
      </c>
      <c r="AR31" s="8">
        <v>2790</v>
      </c>
      <c r="AS31" s="8">
        <v>2070</v>
      </c>
      <c r="AT31">
        <v>4766257</v>
      </c>
      <c r="AU31" s="8" t="s">
        <v>66</v>
      </c>
      <c r="AW31" s="8">
        <v>0</v>
      </c>
    </row>
    <row r="32" spans="1:49" x14ac:dyDescent="0.25">
      <c r="A32" t="s">
        <v>171</v>
      </c>
      <c r="B32">
        <v>4766260</v>
      </c>
      <c r="C32" t="s">
        <v>58</v>
      </c>
      <c r="D32">
        <v>19</v>
      </c>
      <c r="E32">
        <v>1</v>
      </c>
      <c r="F32">
        <v>15.95</v>
      </c>
      <c r="G32">
        <v>750</v>
      </c>
      <c r="J32" t="s">
        <v>172</v>
      </c>
      <c r="K32" s="8">
        <v>1</v>
      </c>
      <c r="L32" s="8">
        <v>1</v>
      </c>
      <c r="M32" t="str">
        <f t="shared" si="0"/>
        <v>Melamine-H1143-Chene Sacramento gris-ST36 19 mm</v>
      </c>
      <c r="N32" s="8">
        <v>1</v>
      </c>
      <c r="O32" s="8">
        <v>1</v>
      </c>
      <c r="P32" s="8">
        <v>0</v>
      </c>
      <c r="Q32" s="8" t="s">
        <v>61</v>
      </c>
      <c r="R32" s="8" t="s">
        <v>62</v>
      </c>
      <c r="AB32" t="s">
        <v>173</v>
      </c>
      <c r="AD32" t="s">
        <v>174</v>
      </c>
      <c r="AE32" s="8">
        <v>1</v>
      </c>
      <c r="AF32" s="8">
        <v>0</v>
      </c>
      <c r="AG32" s="8" t="s">
        <v>65</v>
      </c>
      <c r="AH32" s="8">
        <v>1</v>
      </c>
      <c r="AI32" s="8">
        <v>1</v>
      </c>
      <c r="AJ32" s="8">
        <v>1</v>
      </c>
      <c r="AK32" s="8">
        <v>1</v>
      </c>
      <c r="AR32" s="8">
        <v>2790</v>
      </c>
      <c r="AS32" s="8">
        <v>2070</v>
      </c>
      <c r="AT32">
        <v>4766259</v>
      </c>
      <c r="AU32" s="8" t="s">
        <v>66</v>
      </c>
      <c r="AW32" s="8">
        <v>0</v>
      </c>
    </row>
    <row r="33" spans="1:49" x14ac:dyDescent="0.25">
      <c r="A33" t="s">
        <v>175</v>
      </c>
      <c r="B33">
        <v>7786393</v>
      </c>
      <c r="C33" t="s">
        <v>58</v>
      </c>
      <c r="D33">
        <v>19</v>
      </c>
      <c r="E33">
        <v>1</v>
      </c>
      <c r="F33">
        <v>11.26</v>
      </c>
      <c r="G33">
        <v>750</v>
      </c>
      <c r="J33" t="s">
        <v>176</v>
      </c>
      <c r="K33" s="8">
        <v>1</v>
      </c>
      <c r="L33" s="8">
        <v>1</v>
      </c>
      <c r="M33" t="str">
        <f t="shared" si="0"/>
        <v>Melamine-H1145-Chene Bardolino naturel-ST10 19 mm</v>
      </c>
      <c r="N33" s="8">
        <v>1</v>
      </c>
      <c r="O33" s="8">
        <v>1</v>
      </c>
      <c r="P33" s="8">
        <v>0</v>
      </c>
      <c r="Q33" s="8" t="s">
        <v>61</v>
      </c>
      <c r="R33" s="8" t="s">
        <v>62</v>
      </c>
      <c r="AB33" t="s">
        <v>177</v>
      </c>
      <c r="AD33" t="s">
        <v>178</v>
      </c>
      <c r="AE33" s="8">
        <v>1</v>
      </c>
      <c r="AF33" s="8">
        <v>0</v>
      </c>
      <c r="AG33" s="8" t="s">
        <v>65</v>
      </c>
      <c r="AH33" s="8">
        <v>1</v>
      </c>
      <c r="AI33" s="8">
        <v>1</v>
      </c>
      <c r="AJ33" s="8">
        <v>1</v>
      </c>
      <c r="AK33" s="8">
        <v>1</v>
      </c>
      <c r="AR33" s="8">
        <v>2790</v>
      </c>
      <c r="AS33" s="8">
        <v>2070</v>
      </c>
      <c r="AT33">
        <v>7786393</v>
      </c>
      <c r="AU33" s="8" t="s">
        <v>66</v>
      </c>
      <c r="AW33" s="8">
        <v>0</v>
      </c>
    </row>
    <row r="34" spans="1:49" x14ac:dyDescent="0.25">
      <c r="A34" t="s">
        <v>179</v>
      </c>
      <c r="B34">
        <v>7786397</v>
      </c>
      <c r="C34" t="s">
        <v>58</v>
      </c>
      <c r="D34">
        <v>19</v>
      </c>
      <c r="E34">
        <v>1</v>
      </c>
      <c r="F34">
        <v>21.87</v>
      </c>
      <c r="G34">
        <v>750</v>
      </c>
      <c r="J34" t="s">
        <v>180</v>
      </c>
      <c r="K34" s="8">
        <v>1</v>
      </c>
      <c r="L34" s="8">
        <v>1</v>
      </c>
      <c r="M34" t="str">
        <f t="shared" si="0"/>
        <v>Melamine-H1176-Chene Halifax blanc-ST37 19 mm</v>
      </c>
      <c r="N34" s="8">
        <v>1</v>
      </c>
      <c r="O34" s="8">
        <v>1</v>
      </c>
      <c r="P34" s="8">
        <v>0</v>
      </c>
      <c r="Q34" s="8" t="s">
        <v>61</v>
      </c>
      <c r="R34" s="8" t="s">
        <v>62</v>
      </c>
      <c r="AB34" t="s">
        <v>181</v>
      </c>
      <c r="AD34" t="s">
        <v>182</v>
      </c>
      <c r="AE34" s="8">
        <v>1</v>
      </c>
      <c r="AF34" s="8">
        <v>0</v>
      </c>
      <c r="AG34" s="8" t="s">
        <v>65</v>
      </c>
      <c r="AH34" s="8">
        <v>1</v>
      </c>
      <c r="AI34" s="8">
        <v>1</v>
      </c>
      <c r="AJ34" s="8">
        <v>1</v>
      </c>
      <c r="AK34" s="8">
        <v>1</v>
      </c>
      <c r="AR34" s="8">
        <v>2790</v>
      </c>
      <c r="AS34" s="8">
        <v>2070</v>
      </c>
      <c r="AT34">
        <v>7786397</v>
      </c>
      <c r="AU34" s="8" t="s">
        <v>66</v>
      </c>
      <c r="AW34" s="8">
        <v>0</v>
      </c>
    </row>
    <row r="35" spans="1:49" x14ac:dyDescent="0.25">
      <c r="A35" t="s">
        <v>183</v>
      </c>
      <c r="B35">
        <v>7786398</v>
      </c>
      <c r="C35" t="s">
        <v>58</v>
      </c>
      <c r="D35">
        <v>19</v>
      </c>
      <c r="E35">
        <v>1</v>
      </c>
      <c r="F35">
        <v>21.87</v>
      </c>
      <c r="G35">
        <v>750</v>
      </c>
      <c r="J35" t="s">
        <v>184</v>
      </c>
      <c r="K35" s="8">
        <v>1</v>
      </c>
      <c r="L35" s="8">
        <v>1</v>
      </c>
      <c r="M35" t="str">
        <f t="shared" si="0"/>
        <v>Melamine-H1180-Chene Halifax naturel-ST37 19 mm</v>
      </c>
      <c r="N35" s="8">
        <v>1</v>
      </c>
      <c r="O35" s="8">
        <v>1</v>
      </c>
      <c r="P35" s="8">
        <v>0</v>
      </c>
      <c r="Q35" s="8" t="s">
        <v>61</v>
      </c>
      <c r="R35" s="8" t="s">
        <v>62</v>
      </c>
      <c r="AB35" t="s">
        <v>185</v>
      </c>
      <c r="AD35" t="s">
        <v>186</v>
      </c>
      <c r="AE35" s="8">
        <v>1</v>
      </c>
      <c r="AF35" s="8">
        <v>0</v>
      </c>
      <c r="AG35" s="8" t="s">
        <v>65</v>
      </c>
      <c r="AH35" s="8">
        <v>1</v>
      </c>
      <c r="AI35" s="8">
        <v>1</v>
      </c>
      <c r="AJ35" s="8">
        <v>1</v>
      </c>
      <c r="AK35" s="8">
        <v>1</v>
      </c>
      <c r="AR35" s="8">
        <v>2790</v>
      </c>
      <c r="AS35" s="8">
        <v>2070</v>
      </c>
      <c r="AT35">
        <v>7786398</v>
      </c>
      <c r="AU35" s="8" t="s">
        <v>66</v>
      </c>
      <c r="AW35" s="8">
        <v>0</v>
      </c>
    </row>
    <row r="36" spans="1:49" x14ac:dyDescent="0.25">
      <c r="A36" t="s">
        <v>187</v>
      </c>
      <c r="B36">
        <v>7786399</v>
      </c>
      <c r="C36" t="s">
        <v>58</v>
      </c>
      <c r="D36">
        <v>19</v>
      </c>
      <c r="E36">
        <v>1</v>
      </c>
      <c r="F36">
        <v>21.87</v>
      </c>
      <c r="G36">
        <v>750</v>
      </c>
      <c r="J36" t="s">
        <v>188</v>
      </c>
      <c r="K36" s="8">
        <v>1</v>
      </c>
      <c r="L36" s="8">
        <v>1</v>
      </c>
      <c r="M36" t="str">
        <f t="shared" si="0"/>
        <v>Melamine-H1181-Chene Halifax tabac-ST37 19 mm</v>
      </c>
      <c r="N36" s="8">
        <v>1</v>
      </c>
      <c r="O36" s="8">
        <v>1</v>
      </c>
      <c r="P36" s="8">
        <v>0</v>
      </c>
      <c r="Q36" s="8" t="s">
        <v>61</v>
      </c>
      <c r="R36" s="8" t="s">
        <v>62</v>
      </c>
      <c r="AB36" t="s">
        <v>189</v>
      </c>
      <c r="AD36" t="s">
        <v>190</v>
      </c>
      <c r="AE36" s="8">
        <v>1</v>
      </c>
      <c r="AF36" s="8">
        <v>0</v>
      </c>
      <c r="AG36" s="8" t="s">
        <v>65</v>
      </c>
      <c r="AH36" s="8">
        <v>1</v>
      </c>
      <c r="AI36" s="8">
        <v>1</v>
      </c>
      <c r="AJ36" s="8">
        <v>1</v>
      </c>
      <c r="AK36" s="8">
        <v>1</v>
      </c>
      <c r="AR36" s="8">
        <v>2790</v>
      </c>
      <c r="AS36" s="8">
        <v>2070</v>
      </c>
      <c r="AT36">
        <v>7786399</v>
      </c>
      <c r="AU36" s="8" t="s">
        <v>66</v>
      </c>
      <c r="AW36" s="8">
        <v>0</v>
      </c>
    </row>
    <row r="37" spans="1:49" x14ac:dyDescent="0.25">
      <c r="A37" t="s">
        <v>191</v>
      </c>
      <c r="B37">
        <v>7786400</v>
      </c>
      <c r="C37" t="s">
        <v>58</v>
      </c>
      <c r="D37">
        <v>19</v>
      </c>
      <c r="E37">
        <v>1</v>
      </c>
      <c r="F37">
        <v>11.06</v>
      </c>
      <c r="G37">
        <v>750</v>
      </c>
      <c r="J37" t="s">
        <v>192</v>
      </c>
      <c r="K37" s="8">
        <v>1</v>
      </c>
      <c r="L37" s="8">
        <v>1</v>
      </c>
      <c r="M37" t="str">
        <f t="shared" si="0"/>
        <v>Melamine-H1199-Chene thermo noir-ST12 19 mm</v>
      </c>
      <c r="N37" s="8">
        <v>1</v>
      </c>
      <c r="O37" s="8">
        <v>1</v>
      </c>
      <c r="P37" s="8">
        <v>0</v>
      </c>
      <c r="Q37" s="8" t="s">
        <v>61</v>
      </c>
      <c r="R37" s="8" t="s">
        <v>62</v>
      </c>
      <c r="AB37" t="s">
        <v>193</v>
      </c>
      <c r="AD37" t="s">
        <v>194</v>
      </c>
      <c r="AE37" s="8">
        <v>1</v>
      </c>
      <c r="AF37" s="8">
        <v>0</v>
      </c>
      <c r="AG37" s="8" t="s">
        <v>65</v>
      </c>
      <c r="AH37" s="8">
        <v>1</v>
      </c>
      <c r="AI37" s="8">
        <v>1</v>
      </c>
      <c r="AJ37" s="8">
        <v>1</v>
      </c>
      <c r="AK37" s="8">
        <v>1</v>
      </c>
      <c r="AR37" s="8">
        <v>2790</v>
      </c>
      <c r="AS37" s="8">
        <v>2070</v>
      </c>
      <c r="AT37">
        <v>7787208</v>
      </c>
      <c r="AU37" s="8" t="s">
        <v>66</v>
      </c>
      <c r="AW37" s="8">
        <v>0</v>
      </c>
    </row>
    <row r="38" spans="1:49" x14ac:dyDescent="0.25">
      <c r="A38" t="s">
        <v>195</v>
      </c>
      <c r="B38">
        <v>4766263</v>
      </c>
      <c r="C38" t="s">
        <v>58</v>
      </c>
      <c r="D38">
        <v>19</v>
      </c>
      <c r="E38">
        <v>1</v>
      </c>
      <c r="F38">
        <v>15.12</v>
      </c>
      <c r="G38">
        <v>750</v>
      </c>
      <c r="J38" t="s">
        <v>196</v>
      </c>
      <c r="K38" s="8">
        <v>1</v>
      </c>
      <c r="L38" s="8">
        <v>1</v>
      </c>
      <c r="M38" t="str">
        <f t="shared" si="0"/>
        <v>Melamine-H1223-Frene Seville-ST19 19 mm</v>
      </c>
      <c r="N38" s="8">
        <v>1</v>
      </c>
      <c r="O38" s="8">
        <v>1</v>
      </c>
      <c r="P38" s="8">
        <v>0</v>
      </c>
      <c r="Q38" s="8" t="s">
        <v>61</v>
      </c>
      <c r="R38" s="8" t="s">
        <v>62</v>
      </c>
      <c r="AB38" t="s">
        <v>197</v>
      </c>
      <c r="AD38" t="s">
        <v>198</v>
      </c>
      <c r="AE38" s="8">
        <v>1</v>
      </c>
      <c r="AF38" s="8">
        <v>0</v>
      </c>
      <c r="AG38" s="8" t="s">
        <v>65</v>
      </c>
      <c r="AH38" s="8">
        <v>1</v>
      </c>
      <c r="AI38" s="8">
        <v>1</v>
      </c>
      <c r="AJ38" s="8">
        <v>1</v>
      </c>
      <c r="AK38" s="8">
        <v>1</v>
      </c>
      <c r="AR38" s="8">
        <v>2790</v>
      </c>
      <c r="AS38" s="8">
        <v>2070</v>
      </c>
      <c r="AT38">
        <v>4766263</v>
      </c>
      <c r="AU38" s="8" t="s">
        <v>66</v>
      </c>
      <c r="AW38" s="8">
        <v>0</v>
      </c>
    </row>
    <row r="39" spans="1:49" x14ac:dyDescent="0.25">
      <c r="A39" t="s">
        <v>199</v>
      </c>
      <c r="B39">
        <v>4766266</v>
      </c>
      <c r="C39" t="s">
        <v>58</v>
      </c>
      <c r="D39">
        <v>19</v>
      </c>
      <c r="E39">
        <v>1</v>
      </c>
      <c r="F39">
        <v>14.23</v>
      </c>
      <c r="G39">
        <v>750</v>
      </c>
      <c r="J39" t="s">
        <v>200</v>
      </c>
      <c r="K39" s="8">
        <v>1</v>
      </c>
      <c r="L39" s="8">
        <v>1</v>
      </c>
      <c r="M39" t="str">
        <f t="shared" si="0"/>
        <v>Melamine-H1225-Frene Trondheim-ST12 19 mm</v>
      </c>
      <c r="N39" s="8">
        <v>1</v>
      </c>
      <c r="O39" s="8">
        <v>1</v>
      </c>
      <c r="P39" s="8">
        <v>0</v>
      </c>
      <c r="Q39" s="8" t="s">
        <v>61</v>
      </c>
      <c r="R39" s="8" t="s">
        <v>62</v>
      </c>
      <c r="AB39" t="s">
        <v>201</v>
      </c>
      <c r="AD39" t="s">
        <v>202</v>
      </c>
      <c r="AE39" s="8">
        <v>1</v>
      </c>
      <c r="AF39" s="8">
        <v>0</v>
      </c>
      <c r="AG39" s="8" t="s">
        <v>65</v>
      </c>
      <c r="AH39" s="8">
        <v>1</v>
      </c>
      <c r="AI39" s="8">
        <v>1</v>
      </c>
      <c r="AJ39" s="8">
        <v>1</v>
      </c>
      <c r="AK39" s="8">
        <v>1</v>
      </c>
      <c r="AR39" s="8">
        <v>2790</v>
      </c>
      <c r="AS39" s="8">
        <v>2070</v>
      </c>
      <c r="AT39">
        <v>4766266</v>
      </c>
      <c r="AU39" s="8" t="s">
        <v>66</v>
      </c>
      <c r="AW39" s="8">
        <v>0</v>
      </c>
    </row>
    <row r="40" spans="1:49" x14ac:dyDescent="0.25">
      <c r="A40" t="s">
        <v>203</v>
      </c>
      <c r="B40">
        <v>4766269</v>
      </c>
      <c r="C40" t="s">
        <v>58</v>
      </c>
      <c r="D40">
        <v>19</v>
      </c>
      <c r="E40">
        <v>1</v>
      </c>
      <c r="F40">
        <v>15.79</v>
      </c>
      <c r="G40">
        <v>750</v>
      </c>
      <c r="J40" t="s">
        <v>204</v>
      </c>
      <c r="K40" s="8">
        <v>1</v>
      </c>
      <c r="L40" s="8">
        <v>1</v>
      </c>
      <c r="M40" t="str">
        <f t="shared" si="0"/>
        <v>Melamine-H1242-Acacia Sheffield naturel-ST10 19 mm</v>
      </c>
      <c r="N40" s="8">
        <v>1</v>
      </c>
      <c r="O40" s="8">
        <v>1</v>
      </c>
      <c r="P40" s="8">
        <v>0</v>
      </c>
      <c r="Q40" s="8" t="s">
        <v>61</v>
      </c>
      <c r="R40" s="8" t="s">
        <v>62</v>
      </c>
      <c r="AB40" t="s">
        <v>205</v>
      </c>
      <c r="AD40" t="s">
        <v>206</v>
      </c>
      <c r="AE40" s="8">
        <v>1</v>
      </c>
      <c r="AF40" s="8">
        <v>0</v>
      </c>
      <c r="AG40" s="8" t="s">
        <v>65</v>
      </c>
      <c r="AH40" s="8">
        <v>1</v>
      </c>
      <c r="AI40" s="8">
        <v>1</v>
      </c>
      <c r="AJ40" s="8">
        <v>1</v>
      </c>
      <c r="AK40" s="8">
        <v>1</v>
      </c>
      <c r="AR40" s="8">
        <v>2790</v>
      </c>
      <c r="AS40" s="8">
        <v>2070</v>
      </c>
      <c r="AT40">
        <v>4766269</v>
      </c>
      <c r="AU40" s="8" t="s">
        <v>66</v>
      </c>
      <c r="AW40" s="8">
        <v>0</v>
      </c>
    </row>
    <row r="41" spans="1:49" x14ac:dyDescent="0.25">
      <c r="A41" t="s">
        <v>207</v>
      </c>
      <c r="B41">
        <v>7786403</v>
      </c>
      <c r="C41" t="s">
        <v>58</v>
      </c>
      <c r="D41">
        <v>19</v>
      </c>
      <c r="E41">
        <v>1</v>
      </c>
      <c r="F41">
        <v>21.16</v>
      </c>
      <c r="G41">
        <v>750</v>
      </c>
      <c r="J41" t="s">
        <v>208</v>
      </c>
      <c r="K41" s="8">
        <v>1</v>
      </c>
      <c r="L41" s="8">
        <v>1</v>
      </c>
      <c r="M41" t="str">
        <f t="shared" si="0"/>
        <v>Melamine-H1250-Frene Navarra sable-ST36 19 mm</v>
      </c>
      <c r="N41" s="8">
        <v>1</v>
      </c>
      <c r="O41" s="8">
        <v>1</v>
      </c>
      <c r="P41" s="8">
        <v>0</v>
      </c>
      <c r="Q41" s="8" t="s">
        <v>61</v>
      </c>
      <c r="R41" s="8" t="s">
        <v>62</v>
      </c>
      <c r="AB41" t="s">
        <v>209</v>
      </c>
      <c r="AD41" t="s">
        <v>210</v>
      </c>
      <c r="AE41" s="8">
        <v>1</v>
      </c>
      <c r="AF41" s="8">
        <v>0</v>
      </c>
      <c r="AG41" s="8" t="s">
        <v>65</v>
      </c>
      <c r="AH41" s="8">
        <v>1</v>
      </c>
      <c r="AI41" s="8">
        <v>1</v>
      </c>
      <c r="AJ41" s="8">
        <v>1</v>
      </c>
      <c r="AK41" s="8">
        <v>1</v>
      </c>
      <c r="AR41" s="8">
        <v>2790</v>
      </c>
      <c r="AS41" s="8">
        <v>2070</v>
      </c>
      <c r="AT41">
        <v>7786403</v>
      </c>
      <c r="AU41" s="8" t="s">
        <v>66</v>
      </c>
      <c r="AW41" s="8">
        <v>0</v>
      </c>
    </row>
    <row r="42" spans="1:49" x14ac:dyDescent="0.25">
      <c r="A42" t="s">
        <v>211</v>
      </c>
      <c r="B42">
        <v>4062331</v>
      </c>
      <c r="C42" t="s">
        <v>58</v>
      </c>
      <c r="D42">
        <v>19</v>
      </c>
      <c r="E42">
        <v>1</v>
      </c>
      <c r="F42">
        <v>11.26</v>
      </c>
      <c r="G42">
        <v>750</v>
      </c>
      <c r="J42" t="s">
        <v>212</v>
      </c>
      <c r="K42" s="8">
        <v>1</v>
      </c>
      <c r="L42" s="8">
        <v>1</v>
      </c>
      <c r="M42" t="str">
        <f t="shared" si="0"/>
        <v>Melamine-H1277-Acacia de Lakeland creme-ST9 19 mm</v>
      </c>
      <c r="N42" s="8">
        <v>1</v>
      </c>
      <c r="O42" s="8">
        <v>1</v>
      </c>
      <c r="P42" s="8">
        <v>0</v>
      </c>
      <c r="Q42" s="8" t="s">
        <v>61</v>
      </c>
      <c r="R42" s="8" t="s">
        <v>62</v>
      </c>
      <c r="AB42" t="s">
        <v>213</v>
      </c>
      <c r="AD42" t="s">
        <v>214</v>
      </c>
      <c r="AE42" s="8">
        <v>1</v>
      </c>
      <c r="AF42" s="8">
        <v>0</v>
      </c>
      <c r="AG42" s="8" t="s">
        <v>65</v>
      </c>
      <c r="AH42" s="8">
        <v>1</v>
      </c>
      <c r="AI42" s="8">
        <v>1</v>
      </c>
      <c r="AJ42" s="8">
        <v>1</v>
      </c>
      <c r="AK42" s="8">
        <v>1</v>
      </c>
      <c r="AR42" s="8">
        <v>2790</v>
      </c>
      <c r="AS42" s="8">
        <v>2070</v>
      </c>
      <c r="AT42">
        <v>4062331</v>
      </c>
      <c r="AU42" s="8" t="s">
        <v>66</v>
      </c>
      <c r="AW42" s="8">
        <v>0</v>
      </c>
    </row>
    <row r="43" spans="1:49" x14ac:dyDescent="0.25">
      <c r="A43" t="s">
        <v>215</v>
      </c>
      <c r="B43">
        <v>4766272</v>
      </c>
      <c r="C43" t="s">
        <v>58</v>
      </c>
      <c r="D43">
        <v>19</v>
      </c>
      <c r="E43">
        <v>1</v>
      </c>
      <c r="F43">
        <v>15.12</v>
      </c>
      <c r="G43">
        <v>750</v>
      </c>
      <c r="J43" t="s">
        <v>216</v>
      </c>
      <c r="K43" s="8">
        <v>1</v>
      </c>
      <c r="L43" s="8">
        <v>1</v>
      </c>
      <c r="M43" t="str">
        <f t="shared" si="0"/>
        <v>Melamine-H1303-Chene Belmont marron-ST12 19 mm</v>
      </c>
      <c r="N43" s="8">
        <v>1</v>
      </c>
      <c r="O43" s="8">
        <v>1</v>
      </c>
      <c r="P43" s="8">
        <v>0</v>
      </c>
      <c r="Q43" s="8" t="s">
        <v>61</v>
      </c>
      <c r="R43" s="8" t="s">
        <v>62</v>
      </c>
      <c r="AB43" t="s">
        <v>217</v>
      </c>
      <c r="AD43" t="s">
        <v>218</v>
      </c>
      <c r="AE43" s="8">
        <v>1</v>
      </c>
      <c r="AF43" s="8">
        <v>0</v>
      </c>
      <c r="AG43" s="8" t="s">
        <v>65</v>
      </c>
      <c r="AH43" s="8">
        <v>1</v>
      </c>
      <c r="AI43" s="8">
        <v>1</v>
      </c>
      <c r="AJ43" s="8">
        <v>1</v>
      </c>
      <c r="AK43" s="8">
        <v>1</v>
      </c>
      <c r="AR43" s="8">
        <v>2790</v>
      </c>
      <c r="AS43" s="8">
        <v>2070</v>
      </c>
      <c r="AT43">
        <v>4766272</v>
      </c>
      <c r="AU43" s="8" t="s">
        <v>66</v>
      </c>
      <c r="AW43" s="8">
        <v>0</v>
      </c>
    </row>
    <row r="44" spans="1:49" x14ac:dyDescent="0.25">
      <c r="A44" t="s">
        <v>219</v>
      </c>
      <c r="B44">
        <v>4766275</v>
      </c>
      <c r="C44" t="s">
        <v>58</v>
      </c>
      <c r="D44">
        <v>19</v>
      </c>
      <c r="E44">
        <v>1</v>
      </c>
      <c r="F44">
        <v>15.79</v>
      </c>
      <c r="G44">
        <v>750</v>
      </c>
      <c r="J44" t="s">
        <v>220</v>
      </c>
      <c r="K44" s="8">
        <v>1</v>
      </c>
      <c r="L44" s="8">
        <v>1</v>
      </c>
      <c r="M44" t="str">
        <f t="shared" si="0"/>
        <v>Melamine-H1307-Noyer Warmia brun-ST19 19 mm</v>
      </c>
      <c r="N44" s="8">
        <v>1</v>
      </c>
      <c r="O44" s="8">
        <v>1</v>
      </c>
      <c r="P44" s="8">
        <v>0</v>
      </c>
      <c r="Q44" s="8" t="s">
        <v>61</v>
      </c>
      <c r="R44" s="8" t="s">
        <v>62</v>
      </c>
      <c r="AB44" t="s">
        <v>221</v>
      </c>
      <c r="AD44" t="s">
        <v>222</v>
      </c>
      <c r="AE44" s="8">
        <v>1</v>
      </c>
      <c r="AF44" s="8">
        <v>0</v>
      </c>
      <c r="AG44" s="8" t="s">
        <v>65</v>
      </c>
      <c r="AH44" s="8">
        <v>1</v>
      </c>
      <c r="AI44" s="8">
        <v>1</v>
      </c>
      <c r="AJ44" s="8">
        <v>1</v>
      </c>
      <c r="AK44" s="8">
        <v>1</v>
      </c>
      <c r="AR44" s="8">
        <v>2790</v>
      </c>
      <c r="AS44" s="8">
        <v>2070</v>
      </c>
      <c r="AT44">
        <v>4766275</v>
      </c>
      <c r="AU44" s="8" t="s">
        <v>66</v>
      </c>
      <c r="AW44" s="8">
        <v>0</v>
      </c>
    </row>
    <row r="45" spans="1:49" x14ac:dyDescent="0.25">
      <c r="A45" t="s">
        <v>223</v>
      </c>
      <c r="B45">
        <v>7786408</v>
      </c>
      <c r="C45" t="s">
        <v>58</v>
      </c>
      <c r="D45">
        <v>19</v>
      </c>
      <c r="E45">
        <v>1</v>
      </c>
      <c r="F45">
        <v>11.83</v>
      </c>
      <c r="G45">
        <v>750</v>
      </c>
      <c r="J45" t="s">
        <v>224</v>
      </c>
      <c r="K45" s="8">
        <v>1</v>
      </c>
      <c r="L45" s="8">
        <v>1</v>
      </c>
      <c r="M45" t="str">
        <f t="shared" si="0"/>
        <v>Melamine-H1312-Chene Whiteriver ceruse sable-ST10 19 mm</v>
      </c>
      <c r="N45" s="8">
        <v>1</v>
      </c>
      <c r="O45" s="8">
        <v>1</v>
      </c>
      <c r="P45" s="8">
        <v>0</v>
      </c>
      <c r="Q45" s="8" t="s">
        <v>61</v>
      </c>
      <c r="R45" s="8" t="s">
        <v>62</v>
      </c>
      <c r="AB45" t="s">
        <v>225</v>
      </c>
      <c r="AD45" t="s">
        <v>226</v>
      </c>
      <c r="AE45" s="8">
        <v>1</v>
      </c>
      <c r="AF45" s="8">
        <v>0</v>
      </c>
      <c r="AG45" s="8" t="s">
        <v>65</v>
      </c>
      <c r="AH45" s="8">
        <v>1</v>
      </c>
      <c r="AI45" s="8">
        <v>1</v>
      </c>
      <c r="AJ45" s="8">
        <v>1</v>
      </c>
      <c r="AK45" s="8">
        <v>1</v>
      </c>
      <c r="AR45" s="8">
        <v>2790</v>
      </c>
      <c r="AS45" s="8">
        <v>2070</v>
      </c>
      <c r="AT45">
        <v>7787217</v>
      </c>
      <c r="AU45" s="8" t="s">
        <v>66</v>
      </c>
      <c r="AW45" s="8">
        <v>0</v>
      </c>
    </row>
    <row r="46" spans="1:49" x14ac:dyDescent="0.25">
      <c r="A46" t="s">
        <v>227</v>
      </c>
      <c r="B46">
        <v>7786409</v>
      </c>
      <c r="C46" t="s">
        <v>58</v>
      </c>
      <c r="D46">
        <v>19</v>
      </c>
      <c r="E46">
        <v>1</v>
      </c>
      <c r="F46">
        <v>11.83</v>
      </c>
      <c r="G46">
        <v>750</v>
      </c>
      <c r="J46" t="s">
        <v>228</v>
      </c>
      <c r="K46" s="8">
        <v>1</v>
      </c>
      <c r="L46" s="8">
        <v>1</v>
      </c>
      <c r="M46" t="str">
        <f t="shared" si="0"/>
        <v>Melamine-H1313-Chene Whiteriver ceruse gris-ST10 19 mm</v>
      </c>
      <c r="N46" s="8">
        <v>1</v>
      </c>
      <c r="O46" s="8">
        <v>1</v>
      </c>
      <c r="P46" s="8">
        <v>0</v>
      </c>
      <c r="Q46" s="8" t="s">
        <v>61</v>
      </c>
      <c r="R46" s="8" t="s">
        <v>62</v>
      </c>
      <c r="AB46" t="s">
        <v>229</v>
      </c>
      <c r="AD46" t="s">
        <v>230</v>
      </c>
      <c r="AE46" s="8">
        <v>1</v>
      </c>
      <c r="AF46" s="8">
        <v>0</v>
      </c>
      <c r="AG46" s="8" t="s">
        <v>65</v>
      </c>
      <c r="AH46" s="8">
        <v>1</v>
      </c>
      <c r="AI46" s="8">
        <v>1</v>
      </c>
      <c r="AJ46" s="8">
        <v>1</v>
      </c>
      <c r="AK46" s="8">
        <v>1</v>
      </c>
      <c r="AR46" s="8">
        <v>2790</v>
      </c>
      <c r="AS46" s="8">
        <v>2070</v>
      </c>
      <c r="AT46">
        <v>7787218</v>
      </c>
      <c r="AU46" s="8" t="s">
        <v>66</v>
      </c>
      <c r="AW46" s="8">
        <v>0</v>
      </c>
    </row>
    <row r="47" spans="1:49" x14ac:dyDescent="0.25">
      <c r="A47" t="s">
        <v>231</v>
      </c>
      <c r="B47">
        <v>7786410</v>
      </c>
      <c r="C47" t="s">
        <v>58</v>
      </c>
      <c r="D47">
        <v>19</v>
      </c>
      <c r="E47">
        <v>1</v>
      </c>
      <c r="F47">
        <v>11.45</v>
      </c>
      <c r="G47">
        <v>750</v>
      </c>
      <c r="J47" t="s">
        <v>232</v>
      </c>
      <c r="K47" s="8">
        <v>1</v>
      </c>
      <c r="L47" s="8">
        <v>1</v>
      </c>
      <c r="M47" t="str">
        <f t="shared" si="0"/>
        <v>Melamine-H1318-Chene sauvage naturel-ST10 19 mm</v>
      </c>
      <c r="N47" s="8">
        <v>1</v>
      </c>
      <c r="O47" s="8">
        <v>1</v>
      </c>
      <c r="P47" s="8">
        <v>0</v>
      </c>
      <c r="Q47" s="8" t="s">
        <v>61</v>
      </c>
      <c r="R47" s="8" t="s">
        <v>62</v>
      </c>
      <c r="AB47" t="s">
        <v>233</v>
      </c>
      <c r="AD47" t="s">
        <v>234</v>
      </c>
      <c r="AE47" s="8">
        <v>1</v>
      </c>
      <c r="AF47" s="8">
        <v>0</v>
      </c>
      <c r="AG47" s="8" t="s">
        <v>65</v>
      </c>
      <c r="AH47" s="8">
        <v>1</v>
      </c>
      <c r="AI47" s="8">
        <v>1</v>
      </c>
      <c r="AJ47" s="8">
        <v>1</v>
      </c>
      <c r="AK47" s="8">
        <v>1</v>
      </c>
      <c r="AR47" s="8">
        <v>2790</v>
      </c>
      <c r="AS47" s="8">
        <v>2070</v>
      </c>
      <c r="AT47">
        <v>7787219</v>
      </c>
      <c r="AU47" s="8" t="s">
        <v>66</v>
      </c>
      <c r="AW47" s="8">
        <v>0</v>
      </c>
    </row>
    <row r="48" spans="1:49" x14ac:dyDescent="0.25">
      <c r="A48" t="s">
        <v>235</v>
      </c>
      <c r="B48">
        <v>7786411</v>
      </c>
      <c r="C48" t="s">
        <v>58</v>
      </c>
      <c r="D48">
        <v>19</v>
      </c>
      <c r="E48">
        <v>1</v>
      </c>
      <c r="F48">
        <v>11.83</v>
      </c>
      <c r="G48">
        <v>750</v>
      </c>
      <c r="J48" t="s">
        <v>236</v>
      </c>
      <c r="K48" s="8">
        <v>1</v>
      </c>
      <c r="L48" s="8">
        <v>1</v>
      </c>
      <c r="M48" t="str">
        <f t="shared" si="0"/>
        <v>Melamine-H1330-Chene Santa Fe vintage-ST10 19 mm</v>
      </c>
      <c r="N48" s="8">
        <v>1</v>
      </c>
      <c r="O48" s="8">
        <v>1</v>
      </c>
      <c r="P48" s="8">
        <v>0</v>
      </c>
      <c r="Q48" s="8" t="s">
        <v>61</v>
      </c>
      <c r="R48" s="8" t="s">
        <v>62</v>
      </c>
      <c r="AB48" t="s">
        <v>237</v>
      </c>
      <c r="AD48" t="s">
        <v>238</v>
      </c>
      <c r="AE48" s="8">
        <v>1</v>
      </c>
      <c r="AF48" s="8">
        <v>0</v>
      </c>
      <c r="AG48" s="8" t="s">
        <v>65</v>
      </c>
      <c r="AH48" s="8">
        <v>1</v>
      </c>
      <c r="AI48" s="8">
        <v>1</v>
      </c>
      <c r="AJ48" s="8">
        <v>1</v>
      </c>
      <c r="AK48" s="8">
        <v>1</v>
      </c>
      <c r="AR48" s="8">
        <v>2790</v>
      </c>
      <c r="AS48" s="8">
        <v>2070</v>
      </c>
      <c r="AT48">
        <v>7787220</v>
      </c>
      <c r="AU48" s="8" t="s">
        <v>66</v>
      </c>
      <c r="AW48" s="8">
        <v>0</v>
      </c>
    </row>
    <row r="49" spans="1:49" x14ac:dyDescent="0.25">
      <c r="A49" t="s">
        <v>239</v>
      </c>
      <c r="B49">
        <v>4062332</v>
      </c>
      <c r="C49" t="s">
        <v>58</v>
      </c>
      <c r="D49">
        <v>19</v>
      </c>
      <c r="E49">
        <v>1</v>
      </c>
      <c r="F49">
        <v>14.23</v>
      </c>
      <c r="G49">
        <v>750</v>
      </c>
      <c r="J49" t="s">
        <v>240</v>
      </c>
      <c r="K49" s="8">
        <v>1</v>
      </c>
      <c r="L49" s="8">
        <v>1</v>
      </c>
      <c r="M49" t="str">
        <f t="shared" si="0"/>
        <v>Melamine-H1334-Chene Sorano clair-ST9 19 mm</v>
      </c>
      <c r="N49" s="8">
        <v>1</v>
      </c>
      <c r="O49" s="8">
        <v>1</v>
      </c>
      <c r="P49" s="8">
        <v>0</v>
      </c>
      <c r="Q49" s="8" t="s">
        <v>61</v>
      </c>
      <c r="R49" s="8" t="s">
        <v>62</v>
      </c>
      <c r="AB49" t="s">
        <v>241</v>
      </c>
      <c r="AD49" t="s">
        <v>242</v>
      </c>
      <c r="AE49" s="8">
        <v>1</v>
      </c>
      <c r="AF49" s="8">
        <v>0</v>
      </c>
      <c r="AG49" s="8" t="s">
        <v>65</v>
      </c>
      <c r="AH49" s="8">
        <v>1</v>
      </c>
      <c r="AI49" s="8">
        <v>1</v>
      </c>
      <c r="AJ49" s="8">
        <v>1</v>
      </c>
      <c r="AK49" s="8">
        <v>1</v>
      </c>
      <c r="AR49" s="8">
        <v>2790</v>
      </c>
      <c r="AS49" s="8">
        <v>2070</v>
      </c>
      <c r="AT49">
        <v>4062332</v>
      </c>
      <c r="AU49" s="8" t="s">
        <v>66</v>
      </c>
      <c r="AW49" s="8">
        <v>0</v>
      </c>
    </row>
    <row r="50" spans="1:49" x14ac:dyDescent="0.25">
      <c r="A50" t="s">
        <v>243</v>
      </c>
      <c r="B50">
        <v>7786414</v>
      </c>
      <c r="C50" t="s">
        <v>58</v>
      </c>
      <c r="D50">
        <v>19</v>
      </c>
      <c r="E50">
        <v>1</v>
      </c>
      <c r="F50">
        <v>16.440000000000001</v>
      </c>
      <c r="G50">
        <v>750</v>
      </c>
      <c r="J50" t="s">
        <v>244</v>
      </c>
      <c r="K50" s="8">
        <v>1</v>
      </c>
      <c r="L50" s="8">
        <v>1</v>
      </c>
      <c r="M50" t="str">
        <f t="shared" si="0"/>
        <v>Melamine-H1344-Chene Sherman cognac-ST32 19 mm</v>
      </c>
      <c r="N50" s="8">
        <v>1</v>
      </c>
      <c r="O50" s="8">
        <v>1</v>
      </c>
      <c r="P50" s="8">
        <v>0</v>
      </c>
      <c r="Q50" s="8" t="s">
        <v>61</v>
      </c>
      <c r="R50" s="8" t="s">
        <v>62</v>
      </c>
      <c r="AB50" t="s">
        <v>245</v>
      </c>
      <c r="AD50" t="s">
        <v>246</v>
      </c>
      <c r="AE50" s="8">
        <v>1</v>
      </c>
      <c r="AF50" s="8">
        <v>0</v>
      </c>
      <c r="AG50" s="8" t="s">
        <v>65</v>
      </c>
      <c r="AH50" s="8">
        <v>1</v>
      </c>
      <c r="AI50" s="8">
        <v>1</v>
      </c>
      <c r="AJ50" s="8">
        <v>1</v>
      </c>
      <c r="AK50" s="8">
        <v>1</v>
      </c>
      <c r="AR50" s="8">
        <v>2790</v>
      </c>
      <c r="AS50" s="8">
        <v>2070</v>
      </c>
      <c r="AT50">
        <v>7787224</v>
      </c>
      <c r="AU50" s="8" t="s">
        <v>66</v>
      </c>
      <c r="AW50" s="8">
        <v>0</v>
      </c>
    </row>
    <row r="51" spans="1:49" x14ac:dyDescent="0.25">
      <c r="A51" t="s">
        <v>247</v>
      </c>
      <c r="B51">
        <v>7786416</v>
      </c>
      <c r="C51" t="s">
        <v>58</v>
      </c>
      <c r="D51">
        <v>19</v>
      </c>
      <c r="E51">
        <v>1</v>
      </c>
      <c r="F51">
        <v>16.440000000000001</v>
      </c>
      <c r="G51">
        <v>750</v>
      </c>
      <c r="J51" t="s">
        <v>248</v>
      </c>
      <c r="K51" s="8">
        <v>1</v>
      </c>
      <c r="L51" s="8">
        <v>1</v>
      </c>
      <c r="M51" t="str">
        <f t="shared" si="0"/>
        <v>Melamine-H1346-Chene Sherman anthracite-ST32 19 mm</v>
      </c>
      <c r="N51" s="8">
        <v>1</v>
      </c>
      <c r="O51" s="8">
        <v>1</v>
      </c>
      <c r="P51" s="8">
        <v>0</v>
      </c>
      <c r="Q51" s="8" t="s">
        <v>61</v>
      </c>
      <c r="R51" s="8" t="s">
        <v>62</v>
      </c>
      <c r="AB51" t="s">
        <v>249</v>
      </c>
      <c r="AD51" t="s">
        <v>250</v>
      </c>
      <c r="AE51" s="8">
        <v>1</v>
      </c>
      <c r="AF51" s="8">
        <v>0</v>
      </c>
      <c r="AG51" s="8" t="s">
        <v>65</v>
      </c>
      <c r="AH51" s="8">
        <v>1</v>
      </c>
      <c r="AI51" s="8">
        <v>1</v>
      </c>
      <c r="AJ51" s="8">
        <v>1</v>
      </c>
      <c r="AK51" s="8">
        <v>1</v>
      </c>
      <c r="AR51" s="8">
        <v>2790</v>
      </c>
      <c r="AS51" s="8">
        <v>2070</v>
      </c>
      <c r="AT51">
        <v>7787226</v>
      </c>
      <c r="AU51" s="8" t="s">
        <v>66</v>
      </c>
      <c r="AW51" s="8">
        <v>0</v>
      </c>
    </row>
    <row r="52" spans="1:49" x14ac:dyDescent="0.25">
      <c r="A52" t="s">
        <v>251</v>
      </c>
      <c r="B52">
        <v>4766278</v>
      </c>
      <c r="C52" t="s">
        <v>58</v>
      </c>
      <c r="D52">
        <v>19</v>
      </c>
      <c r="E52">
        <v>1</v>
      </c>
      <c r="F52">
        <v>15.79</v>
      </c>
      <c r="G52">
        <v>750</v>
      </c>
      <c r="J52" t="s">
        <v>252</v>
      </c>
      <c r="K52" s="8">
        <v>1</v>
      </c>
      <c r="L52" s="8">
        <v>1</v>
      </c>
      <c r="M52" t="str">
        <f t="shared" si="0"/>
        <v>Melamine-H1357-Chene Spree grege-ST10 19 mm</v>
      </c>
      <c r="N52" s="8">
        <v>1</v>
      </c>
      <c r="O52" s="8">
        <v>1</v>
      </c>
      <c r="P52" s="8">
        <v>0</v>
      </c>
      <c r="Q52" s="8" t="s">
        <v>61</v>
      </c>
      <c r="R52" s="8" t="s">
        <v>62</v>
      </c>
      <c r="AB52" t="s">
        <v>253</v>
      </c>
      <c r="AD52" t="s">
        <v>254</v>
      </c>
      <c r="AE52" s="8">
        <v>1</v>
      </c>
      <c r="AF52" s="8">
        <v>0</v>
      </c>
      <c r="AG52" s="8" t="s">
        <v>65</v>
      </c>
      <c r="AH52" s="8">
        <v>1</v>
      </c>
      <c r="AI52" s="8">
        <v>1</v>
      </c>
      <c r="AJ52" s="8">
        <v>1</v>
      </c>
      <c r="AK52" s="8">
        <v>1</v>
      </c>
      <c r="AR52" s="8">
        <v>2790</v>
      </c>
      <c r="AS52" s="8">
        <v>2070</v>
      </c>
      <c r="AT52">
        <v>4766278</v>
      </c>
      <c r="AU52" s="8" t="s">
        <v>66</v>
      </c>
      <c r="AW52" s="8">
        <v>0</v>
      </c>
    </row>
    <row r="53" spans="1:49" x14ac:dyDescent="0.25">
      <c r="A53" t="s">
        <v>255</v>
      </c>
      <c r="B53">
        <v>4766281</v>
      </c>
      <c r="C53" t="s">
        <v>58</v>
      </c>
      <c r="D53">
        <v>19</v>
      </c>
      <c r="E53">
        <v>1</v>
      </c>
      <c r="F53">
        <v>15.12</v>
      </c>
      <c r="G53">
        <v>750</v>
      </c>
      <c r="J53" t="s">
        <v>256</v>
      </c>
      <c r="K53" s="8">
        <v>1</v>
      </c>
      <c r="L53" s="8">
        <v>1</v>
      </c>
      <c r="M53" t="str">
        <f t="shared" si="0"/>
        <v>Melamine-H1362-Chene Baronia clair-ST12 19 mm</v>
      </c>
      <c r="N53" s="8">
        <v>1</v>
      </c>
      <c r="O53" s="8">
        <v>1</v>
      </c>
      <c r="P53" s="8">
        <v>0</v>
      </c>
      <c r="Q53" s="8" t="s">
        <v>61</v>
      </c>
      <c r="R53" s="8" t="s">
        <v>62</v>
      </c>
      <c r="AB53" t="s">
        <v>257</v>
      </c>
      <c r="AD53" t="s">
        <v>258</v>
      </c>
      <c r="AE53" s="8">
        <v>1</v>
      </c>
      <c r="AF53" s="8">
        <v>0</v>
      </c>
      <c r="AG53" s="8" t="s">
        <v>65</v>
      </c>
      <c r="AH53" s="8">
        <v>1</v>
      </c>
      <c r="AI53" s="8">
        <v>1</v>
      </c>
      <c r="AJ53" s="8">
        <v>1</v>
      </c>
      <c r="AK53" s="8">
        <v>1</v>
      </c>
      <c r="AR53" s="8">
        <v>2790</v>
      </c>
      <c r="AS53" s="8">
        <v>2070</v>
      </c>
      <c r="AT53">
        <v>4766281</v>
      </c>
      <c r="AU53" s="8" t="s">
        <v>66</v>
      </c>
      <c r="AW53" s="8">
        <v>0</v>
      </c>
    </row>
    <row r="54" spans="1:49" x14ac:dyDescent="0.25">
      <c r="A54" t="s">
        <v>259</v>
      </c>
      <c r="B54">
        <v>4766284</v>
      </c>
      <c r="C54" t="s">
        <v>58</v>
      </c>
      <c r="D54">
        <v>19</v>
      </c>
      <c r="E54">
        <v>1</v>
      </c>
      <c r="F54">
        <v>21.87</v>
      </c>
      <c r="G54">
        <v>750</v>
      </c>
      <c r="J54" t="s">
        <v>260</v>
      </c>
      <c r="K54" s="8">
        <v>1</v>
      </c>
      <c r="L54" s="8">
        <v>1</v>
      </c>
      <c r="M54" t="str">
        <f t="shared" si="0"/>
        <v>Melamine-H1367-Chene Casella naturel clair-ST40 19 mm</v>
      </c>
      <c r="N54" s="8">
        <v>1</v>
      </c>
      <c r="O54" s="8">
        <v>1</v>
      </c>
      <c r="P54" s="8">
        <v>0</v>
      </c>
      <c r="Q54" s="8" t="s">
        <v>61</v>
      </c>
      <c r="R54" s="8" t="s">
        <v>62</v>
      </c>
      <c r="AB54" t="s">
        <v>261</v>
      </c>
      <c r="AD54" t="s">
        <v>262</v>
      </c>
      <c r="AE54" s="8">
        <v>1</v>
      </c>
      <c r="AF54" s="8">
        <v>0</v>
      </c>
      <c r="AG54" s="8" t="s">
        <v>65</v>
      </c>
      <c r="AH54" s="8">
        <v>1</v>
      </c>
      <c r="AI54" s="8">
        <v>1</v>
      </c>
      <c r="AJ54" s="8">
        <v>1</v>
      </c>
      <c r="AK54" s="8">
        <v>1</v>
      </c>
      <c r="AR54" s="8">
        <v>2790</v>
      </c>
      <c r="AS54" s="8">
        <v>2070</v>
      </c>
      <c r="AT54">
        <v>4766284</v>
      </c>
      <c r="AU54" s="8" t="s">
        <v>66</v>
      </c>
      <c r="AW54" s="8">
        <v>0</v>
      </c>
    </row>
    <row r="55" spans="1:49" x14ac:dyDescent="0.25">
      <c r="A55" t="s">
        <v>263</v>
      </c>
      <c r="B55">
        <v>4766287</v>
      </c>
      <c r="C55" t="s">
        <v>58</v>
      </c>
      <c r="D55">
        <v>19</v>
      </c>
      <c r="E55">
        <v>1</v>
      </c>
      <c r="F55">
        <v>16.440000000000001</v>
      </c>
      <c r="G55">
        <v>750</v>
      </c>
      <c r="J55" t="s">
        <v>264</v>
      </c>
      <c r="K55" s="8">
        <v>1</v>
      </c>
      <c r="L55" s="8">
        <v>1</v>
      </c>
      <c r="M55" t="str">
        <f t="shared" si="0"/>
        <v>Melamine-H1369-Chene Casella brun-ST40 19 mm</v>
      </c>
      <c r="N55" s="8">
        <v>1</v>
      </c>
      <c r="O55" s="8">
        <v>1</v>
      </c>
      <c r="P55" s="8">
        <v>0</v>
      </c>
      <c r="Q55" s="8" t="s">
        <v>61</v>
      </c>
      <c r="R55" s="8" t="s">
        <v>62</v>
      </c>
      <c r="AB55" t="s">
        <v>265</v>
      </c>
      <c r="AD55" t="s">
        <v>266</v>
      </c>
      <c r="AE55" s="8">
        <v>1</v>
      </c>
      <c r="AF55" s="8">
        <v>0</v>
      </c>
      <c r="AG55" s="8" t="s">
        <v>65</v>
      </c>
      <c r="AH55" s="8">
        <v>1</v>
      </c>
      <c r="AI55" s="8">
        <v>1</v>
      </c>
      <c r="AJ55" s="8">
        <v>1</v>
      </c>
      <c r="AK55" s="8">
        <v>1</v>
      </c>
      <c r="AR55" s="8">
        <v>2790</v>
      </c>
      <c r="AS55" s="8">
        <v>2070</v>
      </c>
      <c r="AT55">
        <v>4766286</v>
      </c>
      <c r="AU55" s="8" t="s">
        <v>66</v>
      </c>
      <c r="AW55" s="8">
        <v>0</v>
      </c>
    </row>
    <row r="56" spans="1:49" x14ac:dyDescent="0.25">
      <c r="A56" t="s">
        <v>267</v>
      </c>
      <c r="B56">
        <v>7786417</v>
      </c>
      <c r="C56" t="s">
        <v>58</v>
      </c>
      <c r="D56">
        <v>19</v>
      </c>
      <c r="E56">
        <v>1</v>
      </c>
      <c r="F56">
        <v>15.95</v>
      </c>
      <c r="G56">
        <v>750</v>
      </c>
      <c r="J56" t="s">
        <v>268</v>
      </c>
      <c r="K56" s="8">
        <v>1</v>
      </c>
      <c r="L56" s="8">
        <v>1</v>
      </c>
      <c r="M56" t="str">
        <f t="shared" si="0"/>
        <v>Melamine-H1377-Chene d'Orleans sable-ST36 19 mm</v>
      </c>
      <c r="N56" s="8">
        <v>1</v>
      </c>
      <c r="O56" s="8">
        <v>1</v>
      </c>
      <c r="P56" s="8">
        <v>0</v>
      </c>
      <c r="Q56" s="8" t="s">
        <v>61</v>
      </c>
      <c r="R56" s="8" t="s">
        <v>62</v>
      </c>
      <c r="AB56" t="s">
        <v>269</v>
      </c>
      <c r="AD56" t="s">
        <v>270</v>
      </c>
      <c r="AE56" s="8">
        <v>1</v>
      </c>
      <c r="AF56" s="8">
        <v>0</v>
      </c>
      <c r="AG56" s="8" t="s">
        <v>65</v>
      </c>
      <c r="AH56" s="8">
        <v>1</v>
      </c>
      <c r="AI56" s="8">
        <v>1</v>
      </c>
      <c r="AJ56" s="8">
        <v>1</v>
      </c>
      <c r="AK56" s="8">
        <v>1</v>
      </c>
      <c r="AR56" s="8">
        <v>2790</v>
      </c>
      <c r="AS56" s="8">
        <v>2070</v>
      </c>
      <c r="AT56">
        <v>7787227</v>
      </c>
      <c r="AU56" s="8" t="s">
        <v>66</v>
      </c>
      <c r="AW56" s="8">
        <v>0</v>
      </c>
    </row>
    <row r="57" spans="1:49" x14ac:dyDescent="0.25">
      <c r="A57" t="s">
        <v>271</v>
      </c>
      <c r="B57">
        <v>7786418</v>
      </c>
      <c r="C57" t="s">
        <v>58</v>
      </c>
      <c r="D57">
        <v>19</v>
      </c>
      <c r="E57">
        <v>1</v>
      </c>
      <c r="F57">
        <v>15.95</v>
      </c>
      <c r="G57">
        <v>750</v>
      </c>
      <c r="J57" t="s">
        <v>272</v>
      </c>
      <c r="K57" s="8">
        <v>1</v>
      </c>
      <c r="L57" s="8">
        <v>1</v>
      </c>
      <c r="M57" t="str">
        <f t="shared" si="0"/>
        <v>Melamine-H1379-Chene d'Orleans taupe-ST36 19 mm</v>
      </c>
      <c r="N57" s="8">
        <v>1</v>
      </c>
      <c r="O57" s="8">
        <v>1</v>
      </c>
      <c r="P57" s="8">
        <v>0</v>
      </c>
      <c r="Q57" s="8" t="s">
        <v>61</v>
      </c>
      <c r="R57" s="8" t="s">
        <v>62</v>
      </c>
      <c r="AB57" t="s">
        <v>273</v>
      </c>
      <c r="AD57" t="s">
        <v>274</v>
      </c>
      <c r="AE57" s="8">
        <v>1</v>
      </c>
      <c r="AF57" s="8">
        <v>0</v>
      </c>
      <c r="AG57" s="8" t="s">
        <v>65</v>
      </c>
      <c r="AH57" s="8">
        <v>1</v>
      </c>
      <c r="AI57" s="8">
        <v>1</v>
      </c>
      <c r="AJ57" s="8">
        <v>1</v>
      </c>
      <c r="AK57" s="8">
        <v>1</v>
      </c>
      <c r="AR57" s="8">
        <v>2790</v>
      </c>
      <c r="AS57" s="8">
        <v>2070</v>
      </c>
      <c r="AT57">
        <v>7787228</v>
      </c>
      <c r="AU57" s="8" t="s">
        <v>66</v>
      </c>
      <c r="AW57" s="8">
        <v>0</v>
      </c>
    </row>
    <row r="58" spans="1:49" x14ac:dyDescent="0.25">
      <c r="A58" t="s">
        <v>275</v>
      </c>
      <c r="B58">
        <v>4766290</v>
      </c>
      <c r="C58" t="s">
        <v>58</v>
      </c>
      <c r="D58">
        <v>19</v>
      </c>
      <c r="E58">
        <v>1</v>
      </c>
      <c r="F58">
        <v>16.440000000000001</v>
      </c>
      <c r="G58">
        <v>750</v>
      </c>
      <c r="J58" t="s">
        <v>276</v>
      </c>
      <c r="K58" s="8">
        <v>1</v>
      </c>
      <c r="L58" s="8">
        <v>1</v>
      </c>
      <c r="M58" t="str">
        <f t="shared" si="0"/>
        <v>Melamine-H1384-Chene Casella blanc-ST40 19 mm</v>
      </c>
      <c r="N58" s="8">
        <v>1</v>
      </c>
      <c r="O58" s="8">
        <v>1</v>
      </c>
      <c r="P58" s="8">
        <v>0</v>
      </c>
      <c r="Q58" s="8" t="s">
        <v>61</v>
      </c>
      <c r="R58" s="8" t="s">
        <v>62</v>
      </c>
      <c r="AB58" t="s">
        <v>277</v>
      </c>
      <c r="AD58" t="s">
        <v>278</v>
      </c>
      <c r="AE58" s="8">
        <v>1</v>
      </c>
      <c r="AF58" s="8">
        <v>0</v>
      </c>
      <c r="AG58" s="8" t="s">
        <v>65</v>
      </c>
      <c r="AH58" s="8">
        <v>1</v>
      </c>
      <c r="AI58" s="8">
        <v>1</v>
      </c>
      <c r="AJ58" s="8">
        <v>1</v>
      </c>
      <c r="AK58" s="8">
        <v>1</v>
      </c>
      <c r="AR58" s="8">
        <v>2790</v>
      </c>
      <c r="AS58" s="8">
        <v>2070</v>
      </c>
      <c r="AT58">
        <v>4766289</v>
      </c>
      <c r="AU58" s="8" t="s">
        <v>66</v>
      </c>
      <c r="AW58" s="8">
        <v>0</v>
      </c>
    </row>
    <row r="59" spans="1:49" x14ac:dyDescent="0.25">
      <c r="A59" t="s">
        <v>279</v>
      </c>
      <c r="B59">
        <v>4766293</v>
      </c>
      <c r="C59" t="s">
        <v>58</v>
      </c>
      <c r="D59">
        <v>19</v>
      </c>
      <c r="E59">
        <v>1</v>
      </c>
      <c r="F59">
        <v>16.440000000000001</v>
      </c>
      <c r="G59">
        <v>750</v>
      </c>
      <c r="J59" t="s">
        <v>280</v>
      </c>
      <c r="K59" s="8">
        <v>1</v>
      </c>
      <c r="L59" s="8">
        <v>1</v>
      </c>
      <c r="M59" t="str">
        <f t="shared" si="0"/>
        <v>Melamine-H1385-Chene Casella naturel-ST40 19 mm</v>
      </c>
      <c r="N59" s="8">
        <v>1</v>
      </c>
      <c r="O59" s="8">
        <v>1</v>
      </c>
      <c r="P59" s="8">
        <v>0</v>
      </c>
      <c r="Q59" s="8" t="s">
        <v>61</v>
      </c>
      <c r="R59" s="8" t="s">
        <v>62</v>
      </c>
      <c r="AB59" t="s">
        <v>281</v>
      </c>
      <c r="AD59" t="s">
        <v>282</v>
      </c>
      <c r="AE59" s="8">
        <v>1</v>
      </c>
      <c r="AF59" s="8">
        <v>0</v>
      </c>
      <c r="AG59" s="8" t="s">
        <v>65</v>
      </c>
      <c r="AH59" s="8">
        <v>1</v>
      </c>
      <c r="AI59" s="8">
        <v>1</v>
      </c>
      <c r="AJ59" s="8">
        <v>1</v>
      </c>
      <c r="AK59" s="8">
        <v>1</v>
      </c>
      <c r="AR59" s="8">
        <v>2790</v>
      </c>
      <c r="AS59" s="8">
        <v>2070</v>
      </c>
      <c r="AT59">
        <v>4766292</v>
      </c>
      <c r="AU59" s="8" t="s">
        <v>66</v>
      </c>
      <c r="AW59" s="8">
        <v>0</v>
      </c>
    </row>
    <row r="60" spans="1:49" x14ac:dyDescent="0.25">
      <c r="A60" t="s">
        <v>283</v>
      </c>
      <c r="B60">
        <v>4766296</v>
      </c>
      <c r="C60" t="s">
        <v>58</v>
      </c>
      <c r="D60">
        <v>19</v>
      </c>
      <c r="E60">
        <v>1</v>
      </c>
      <c r="F60">
        <v>21.87</v>
      </c>
      <c r="G60">
        <v>750</v>
      </c>
      <c r="J60" t="s">
        <v>284</v>
      </c>
      <c r="K60" s="8">
        <v>1</v>
      </c>
      <c r="L60" s="8">
        <v>1</v>
      </c>
      <c r="M60" t="str">
        <f t="shared" si="0"/>
        <v>Melamine-H1386-Chene Casella marron-ST40 19 mm</v>
      </c>
      <c r="N60" s="8">
        <v>1</v>
      </c>
      <c r="O60" s="8">
        <v>1</v>
      </c>
      <c r="P60" s="8">
        <v>0</v>
      </c>
      <c r="Q60" s="8" t="s">
        <v>61</v>
      </c>
      <c r="R60" s="8" t="s">
        <v>62</v>
      </c>
      <c r="AB60" t="s">
        <v>285</v>
      </c>
      <c r="AD60" t="s">
        <v>286</v>
      </c>
      <c r="AE60" s="8">
        <v>1</v>
      </c>
      <c r="AF60" s="8">
        <v>0</v>
      </c>
      <c r="AG60" s="8" t="s">
        <v>65</v>
      </c>
      <c r="AH60" s="8">
        <v>1</v>
      </c>
      <c r="AI60" s="8">
        <v>1</v>
      </c>
      <c r="AJ60" s="8">
        <v>1</v>
      </c>
      <c r="AK60" s="8">
        <v>1</v>
      </c>
      <c r="AR60" s="8">
        <v>2790</v>
      </c>
      <c r="AS60" s="8">
        <v>2070</v>
      </c>
      <c r="AT60">
        <v>4766296</v>
      </c>
      <c r="AU60" s="8" t="s">
        <v>66</v>
      </c>
      <c r="AW60" s="8">
        <v>0</v>
      </c>
    </row>
    <row r="61" spans="1:49" x14ac:dyDescent="0.25">
      <c r="A61" t="s">
        <v>287</v>
      </c>
      <c r="B61">
        <v>7786420</v>
      </c>
      <c r="C61" t="s">
        <v>58</v>
      </c>
      <c r="D61">
        <v>19</v>
      </c>
      <c r="E61">
        <v>1</v>
      </c>
      <c r="F61">
        <v>15.79</v>
      </c>
      <c r="G61">
        <v>750</v>
      </c>
      <c r="J61" t="s">
        <v>288</v>
      </c>
      <c r="K61" s="8">
        <v>1</v>
      </c>
      <c r="L61" s="8">
        <v>1</v>
      </c>
      <c r="M61" t="str">
        <f t="shared" si="0"/>
        <v>Melamine-H1399-Chene Denver chamois-ST10 19 mm</v>
      </c>
      <c r="N61" s="8">
        <v>1</v>
      </c>
      <c r="O61" s="8">
        <v>1</v>
      </c>
      <c r="P61" s="8">
        <v>0</v>
      </c>
      <c r="Q61" s="8" t="s">
        <v>61</v>
      </c>
      <c r="R61" s="8" t="s">
        <v>62</v>
      </c>
      <c r="AB61" t="s">
        <v>289</v>
      </c>
      <c r="AD61" t="s">
        <v>290</v>
      </c>
      <c r="AE61" s="8">
        <v>1</v>
      </c>
      <c r="AF61" s="8">
        <v>0</v>
      </c>
      <c r="AG61" s="8" t="s">
        <v>65</v>
      </c>
      <c r="AH61" s="8">
        <v>1</v>
      </c>
      <c r="AI61" s="8">
        <v>1</v>
      </c>
      <c r="AJ61" s="8">
        <v>1</v>
      </c>
      <c r="AK61" s="8">
        <v>1</v>
      </c>
      <c r="AR61" s="8">
        <v>2790</v>
      </c>
      <c r="AS61" s="8">
        <v>2070</v>
      </c>
      <c r="AT61">
        <v>7786420</v>
      </c>
      <c r="AU61" s="8" t="s">
        <v>66</v>
      </c>
      <c r="AW61" s="8">
        <v>0</v>
      </c>
    </row>
    <row r="62" spans="1:49" x14ac:dyDescent="0.25">
      <c r="A62" t="s">
        <v>291</v>
      </c>
      <c r="B62">
        <v>7786422</v>
      </c>
      <c r="C62" t="s">
        <v>58</v>
      </c>
      <c r="D62">
        <v>19</v>
      </c>
      <c r="E62">
        <v>1</v>
      </c>
      <c r="F62">
        <v>11.45</v>
      </c>
      <c r="G62">
        <v>750</v>
      </c>
      <c r="J62" t="s">
        <v>292</v>
      </c>
      <c r="K62" s="8">
        <v>1</v>
      </c>
      <c r="L62" s="8">
        <v>1</v>
      </c>
      <c r="M62" t="str">
        <f t="shared" si="0"/>
        <v>Melamine-H1401-Pin Cascina-ST22 19 mm</v>
      </c>
      <c r="N62" s="8">
        <v>1</v>
      </c>
      <c r="O62" s="8">
        <v>1</v>
      </c>
      <c r="P62" s="8">
        <v>0</v>
      </c>
      <c r="Q62" s="8" t="s">
        <v>61</v>
      </c>
      <c r="R62" s="8" t="s">
        <v>62</v>
      </c>
      <c r="AB62" t="s">
        <v>293</v>
      </c>
      <c r="AD62" t="s">
        <v>294</v>
      </c>
      <c r="AE62" s="8">
        <v>1</v>
      </c>
      <c r="AF62" s="8">
        <v>0</v>
      </c>
      <c r="AG62" s="8" t="s">
        <v>65</v>
      </c>
      <c r="AH62" s="8">
        <v>1</v>
      </c>
      <c r="AI62" s="8">
        <v>1</v>
      </c>
      <c r="AJ62" s="8">
        <v>1</v>
      </c>
      <c r="AK62" s="8">
        <v>1</v>
      </c>
      <c r="AR62" s="8">
        <v>2790</v>
      </c>
      <c r="AS62" s="8">
        <v>2070</v>
      </c>
      <c r="AT62">
        <v>7787232</v>
      </c>
      <c r="AU62" s="8" t="s">
        <v>66</v>
      </c>
      <c r="AW62" s="8">
        <v>0</v>
      </c>
    </row>
    <row r="63" spans="1:49" x14ac:dyDescent="0.25">
      <c r="A63" t="s">
        <v>295</v>
      </c>
      <c r="B63">
        <v>7786425</v>
      </c>
      <c r="C63" t="s">
        <v>58</v>
      </c>
      <c r="D63">
        <v>19</v>
      </c>
      <c r="E63">
        <v>1</v>
      </c>
      <c r="F63">
        <v>11.45</v>
      </c>
      <c r="G63">
        <v>750</v>
      </c>
      <c r="J63" t="s">
        <v>296</v>
      </c>
      <c r="K63" s="8">
        <v>1</v>
      </c>
      <c r="L63" s="8">
        <v>1</v>
      </c>
      <c r="M63" t="str">
        <f t="shared" si="0"/>
        <v>Melamine-H1487-Epicea de Bramberg-ST22 19 mm</v>
      </c>
      <c r="N63" s="8">
        <v>1</v>
      </c>
      <c r="O63" s="8">
        <v>1</v>
      </c>
      <c r="P63" s="8">
        <v>0</v>
      </c>
      <c r="Q63" s="8" t="s">
        <v>61</v>
      </c>
      <c r="R63" s="8" t="s">
        <v>62</v>
      </c>
      <c r="AB63" t="s">
        <v>297</v>
      </c>
      <c r="AD63" t="s">
        <v>298</v>
      </c>
      <c r="AE63" s="8">
        <v>1</v>
      </c>
      <c r="AF63" s="8">
        <v>0</v>
      </c>
      <c r="AG63" s="8" t="s">
        <v>65</v>
      </c>
      <c r="AH63" s="8">
        <v>1</v>
      </c>
      <c r="AI63" s="8">
        <v>1</v>
      </c>
      <c r="AJ63" s="8">
        <v>1</v>
      </c>
      <c r="AK63" s="8">
        <v>1</v>
      </c>
      <c r="AR63" s="8">
        <v>2790</v>
      </c>
      <c r="AS63" s="8">
        <v>2070</v>
      </c>
      <c r="AT63">
        <v>7787235</v>
      </c>
      <c r="AU63" s="8" t="s">
        <v>66</v>
      </c>
      <c r="AW63" s="8">
        <v>0</v>
      </c>
    </row>
    <row r="64" spans="1:49" x14ac:dyDescent="0.25">
      <c r="A64" t="s">
        <v>299</v>
      </c>
      <c r="B64">
        <v>7786428</v>
      </c>
      <c r="C64" t="s">
        <v>58</v>
      </c>
      <c r="D64">
        <v>19</v>
      </c>
      <c r="E64">
        <v>1</v>
      </c>
      <c r="F64">
        <v>14.23</v>
      </c>
      <c r="G64">
        <v>750</v>
      </c>
      <c r="J64" t="s">
        <v>300</v>
      </c>
      <c r="K64" s="8">
        <v>1</v>
      </c>
      <c r="L64" s="8">
        <v>1</v>
      </c>
      <c r="M64" t="str">
        <f t="shared" si="0"/>
        <v>Melamine-H1636-Cerisier Locarno-ST12 19 mm</v>
      </c>
      <c r="N64" s="8">
        <v>1</v>
      </c>
      <c r="O64" s="8">
        <v>1</v>
      </c>
      <c r="P64" s="8">
        <v>0</v>
      </c>
      <c r="Q64" s="8" t="s">
        <v>61</v>
      </c>
      <c r="R64" s="8" t="s">
        <v>62</v>
      </c>
      <c r="AB64" t="s">
        <v>301</v>
      </c>
      <c r="AD64" t="s">
        <v>302</v>
      </c>
      <c r="AE64" s="8">
        <v>1</v>
      </c>
      <c r="AF64" s="8">
        <v>0</v>
      </c>
      <c r="AG64" s="8" t="s">
        <v>65</v>
      </c>
      <c r="AH64" s="8">
        <v>1</v>
      </c>
      <c r="AI64" s="8">
        <v>1</v>
      </c>
      <c r="AJ64" s="8">
        <v>1</v>
      </c>
      <c r="AK64" s="8">
        <v>1</v>
      </c>
      <c r="AR64" s="8">
        <v>2790</v>
      </c>
      <c r="AS64" s="8">
        <v>2070</v>
      </c>
      <c r="AT64">
        <v>7786428</v>
      </c>
      <c r="AU64" s="8" t="s">
        <v>66</v>
      </c>
      <c r="AW64" s="8">
        <v>0</v>
      </c>
    </row>
    <row r="65" spans="1:49" x14ac:dyDescent="0.25">
      <c r="A65" t="s">
        <v>303</v>
      </c>
      <c r="B65">
        <v>7786431</v>
      </c>
      <c r="C65" t="s">
        <v>58</v>
      </c>
      <c r="D65">
        <v>19</v>
      </c>
      <c r="E65">
        <v>1</v>
      </c>
      <c r="F65">
        <v>11.83</v>
      </c>
      <c r="G65">
        <v>750</v>
      </c>
      <c r="J65" t="s">
        <v>304</v>
      </c>
      <c r="K65" s="8">
        <v>1</v>
      </c>
      <c r="L65" s="8">
        <v>1</v>
      </c>
      <c r="M65" t="str">
        <f t="shared" si="0"/>
        <v>Melamine-H1710-Chataignier du Kentucky sable-ST10 19 mm</v>
      </c>
      <c r="N65" s="8">
        <v>1</v>
      </c>
      <c r="O65" s="8">
        <v>1</v>
      </c>
      <c r="P65" s="8">
        <v>0</v>
      </c>
      <c r="Q65" s="8" t="s">
        <v>61</v>
      </c>
      <c r="R65" s="8" t="s">
        <v>62</v>
      </c>
      <c r="AB65" t="s">
        <v>305</v>
      </c>
      <c r="AD65" t="s">
        <v>306</v>
      </c>
      <c r="AE65" s="8">
        <v>1</v>
      </c>
      <c r="AF65" s="8">
        <v>0</v>
      </c>
      <c r="AG65" s="8" t="s">
        <v>65</v>
      </c>
      <c r="AH65" s="8">
        <v>1</v>
      </c>
      <c r="AI65" s="8">
        <v>1</v>
      </c>
      <c r="AJ65" s="8">
        <v>1</v>
      </c>
      <c r="AK65" s="8">
        <v>1</v>
      </c>
      <c r="AR65" s="8">
        <v>2790</v>
      </c>
      <c r="AS65" s="8">
        <v>2070</v>
      </c>
      <c r="AT65">
        <v>7787242</v>
      </c>
      <c r="AU65" s="8" t="s">
        <v>66</v>
      </c>
      <c r="AW65" s="8">
        <v>0</v>
      </c>
    </row>
    <row r="66" spans="1:49" x14ac:dyDescent="0.25">
      <c r="A66" t="s">
        <v>307</v>
      </c>
      <c r="B66">
        <v>7786432</v>
      </c>
      <c r="C66" t="s">
        <v>58</v>
      </c>
      <c r="D66">
        <v>19</v>
      </c>
      <c r="E66">
        <v>1</v>
      </c>
      <c r="F66">
        <v>15.79</v>
      </c>
      <c r="G66">
        <v>750</v>
      </c>
      <c r="J66" t="s">
        <v>308</v>
      </c>
      <c r="K66" s="8">
        <v>1</v>
      </c>
      <c r="L66" s="8">
        <v>1</v>
      </c>
      <c r="M66" t="str">
        <f t="shared" si="0"/>
        <v>Melamine-H1714-Noyer Lincoln-ST19 19 mm</v>
      </c>
      <c r="N66" s="8">
        <v>1</v>
      </c>
      <c r="O66" s="8">
        <v>1</v>
      </c>
      <c r="P66" s="8">
        <v>0</v>
      </c>
      <c r="Q66" s="8" t="s">
        <v>61</v>
      </c>
      <c r="R66" s="8" t="s">
        <v>62</v>
      </c>
      <c r="AB66" t="s">
        <v>309</v>
      </c>
      <c r="AD66" t="s">
        <v>310</v>
      </c>
      <c r="AE66" s="8">
        <v>1</v>
      </c>
      <c r="AF66" s="8">
        <v>0</v>
      </c>
      <c r="AG66" s="8" t="s">
        <v>65</v>
      </c>
      <c r="AH66" s="8">
        <v>1</v>
      </c>
      <c r="AI66" s="8">
        <v>1</v>
      </c>
      <c r="AJ66" s="8">
        <v>1</v>
      </c>
      <c r="AK66" s="8">
        <v>1</v>
      </c>
      <c r="AR66" s="8">
        <v>2790</v>
      </c>
      <c r="AS66" s="8">
        <v>2070</v>
      </c>
      <c r="AT66">
        <v>7786432</v>
      </c>
      <c r="AU66" s="8" t="s">
        <v>66</v>
      </c>
      <c r="AW66" s="8">
        <v>0</v>
      </c>
    </row>
    <row r="67" spans="1:49" x14ac:dyDescent="0.25">
      <c r="A67" t="s">
        <v>311</v>
      </c>
      <c r="B67">
        <v>4766299</v>
      </c>
      <c r="C67" t="s">
        <v>58</v>
      </c>
      <c r="D67">
        <v>19</v>
      </c>
      <c r="E67">
        <v>1</v>
      </c>
      <c r="F67">
        <v>11.06</v>
      </c>
      <c r="G67">
        <v>750</v>
      </c>
      <c r="J67" t="s">
        <v>312</v>
      </c>
      <c r="K67" s="8">
        <v>1</v>
      </c>
      <c r="L67" s="8">
        <v>1</v>
      </c>
      <c r="M67" t="str">
        <f t="shared" si="0"/>
        <v>Melamine-H1715-Noyer Parona-ST12 19 mm</v>
      </c>
      <c r="N67" s="8">
        <v>1</v>
      </c>
      <c r="O67" s="8">
        <v>1</v>
      </c>
      <c r="P67" s="8">
        <v>0</v>
      </c>
      <c r="Q67" s="8" t="s">
        <v>61</v>
      </c>
      <c r="R67" s="8" t="s">
        <v>62</v>
      </c>
      <c r="AB67" t="s">
        <v>313</v>
      </c>
      <c r="AD67" t="s">
        <v>314</v>
      </c>
      <c r="AE67" s="8">
        <v>1</v>
      </c>
      <c r="AF67" s="8">
        <v>0</v>
      </c>
      <c r="AG67" s="8" t="s">
        <v>65</v>
      </c>
      <c r="AH67" s="8">
        <v>1</v>
      </c>
      <c r="AI67" s="8">
        <v>1</v>
      </c>
      <c r="AJ67" s="8">
        <v>1</v>
      </c>
      <c r="AK67" s="8">
        <v>1</v>
      </c>
      <c r="AR67" s="8">
        <v>2790</v>
      </c>
      <c r="AS67" s="8">
        <v>2070</v>
      </c>
      <c r="AT67">
        <v>4766298</v>
      </c>
      <c r="AU67" s="8" t="s">
        <v>66</v>
      </c>
      <c r="AW67" s="8">
        <v>0</v>
      </c>
    </row>
    <row r="68" spans="1:49" x14ac:dyDescent="0.25">
      <c r="A68" t="s">
        <v>315</v>
      </c>
      <c r="B68">
        <v>4766302</v>
      </c>
      <c r="C68" t="s">
        <v>58</v>
      </c>
      <c r="D68">
        <v>19</v>
      </c>
      <c r="E68">
        <v>1</v>
      </c>
      <c r="F68">
        <v>9.02</v>
      </c>
      <c r="G68">
        <v>750</v>
      </c>
      <c r="J68" t="s">
        <v>316</v>
      </c>
      <c r="K68" s="8">
        <v>1</v>
      </c>
      <c r="L68" s="8">
        <v>1</v>
      </c>
      <c r="M68" t="str">
        <f t="shared" si="0"/>
        <v>Melamine-H1732-Bouleau sable-ST9 19 mm</v>
      </c>
      <c r="N68" s="8">
        <v>1</v>
      </c>
      <c r="O68" s="8">
        <v>1</v>
      </c>
      <c r="P68" s="8">
        <v>0</v>
      </c>
      <c r="Q68" s="8" t="s">
        <v>61</v>
      </c>
      <c r="R68" s="8" t="s">
        <v>62</v>
      </c>
      <c r="AB68" t="s">
        <v>317</v>
      </c>
      <c r="AD68" t="s">
        <v>318</v>
      </c>
      <c r="AE68" s="8">
        <v>1</v>
      </c>
      <c r="AF68" s="8">
        <v>0</v>
      </c>
      <c r="AG68" s="8" t="s">
        <v>65</v>
      </c>
      <c r="AH68" s="8">
        <v>1</v>
      </c>
      <c r="AI68" s="8">
        <v>1</v>
      </c>
      <c r="AJ68" s="8">
        <v>1</v>
      </c>
      <c r="AK68" s="8">
        <v>1</v>
      </c>
      <c r="AR68" s="8">
        <v>2790</v>
      </c>
      <c r="AS68" s="8">
        <v>2070</v>
      </c>
      <c r="AT68">
        <v>4766301</v>
      </c>
      <c r="AU68" s="8" t="s">
        <v>66</v>
      </c>
      <c r="AW68" s="8">
        <v>0</v>
      </c>
    </row>
    <row r="69" spans="1:49" x14ac:dyDescent="0.25">
      <c r="A69" t="s">
        <v>319</v>
      </c>
      <c r="B69">
        <v>4766305</v>
      </c>
      <c r="C69" t="s">
        <v>58</v>
      </c>
      <c r="D69">
        <v>19</v>
      </c>
      <c r="E69">
        <v>1</v>
      </c>
      <c r="F69">
        <v>11.26</v>
      </c>
      <c r="G69">
        <v>750</v>
      </c>
      <c r="J69" t="s">
        <v>320</v>
      </c>
      <c r="K69" s="8">
        <v>1</v>
      </c>
      <c r="L69" s="8">
        <v>1</v>
      </c>
      <c r="M69" t="str">
        <f t="shared" ref="M69:M132" si="1">IF(ISNUMBER(SEARCH("Melamine",A69)),_xlfn.CONCAT(A69," ",D69," mm"),A69)</f>
        <v>Melamine-H1910-Hetre Willow-ST9 19 mm</v>
      </c>
      <c r="N69" s="8">
        <v>1</v>
      </c>
      <c r="O69" s="8">
        <v>1</v>
      </c>
      <c r="P69" s="8">
        <v>0</v>
      </c>
      <c r="Q69" s="8" t="s">
        <v>61</v>
      </c>
      <c r="R69" s="8" t="s">
        <v>62</v>
      </c>
      <c r="AB69" t="s">
        <v>321</v>
      </c>
      <c r="AD69" t="s">
        <v>322</v>
      </c>
      <c r="AE69" s="8">
        <v>1</v>
      </c>
      <c r="AF69" s="8">
        <v>0</v>
      </c>
      <c r="AG69" s="8" t="s">
        <v>65</v>
      </c>
      <c r="AH69" s="8">
        <v>1</v>
      </c>
      <c r="AI69" s="8">
        <v>1</v>
      </c>
      <c r="AJ69" s="8">
        <v>1</v>
      </c>
      <c r="AK69" s="8">
        <v>1</v>
      </c>
      <c r="AR69" s="8">
        <v>2790</v>
      </c>
      <c r="AS69" s="8">
        <v>2070</v>
      </c>
      <c r="AT69">
        <v>4766305</v>
      </c>
      <c r="AU69" s="8" t="s">
        <v>66</v>
      </c>
      <c r="AW69" s="8">
        <v>0</v>
      </c>
    </row>
    <row r="70" spans="1:49" x14ac:dyDescent="0.25">
      <c r="A70" t="s">
        <v>323</v>
      </c>
      <c r="B70">
        <v>7786433</v>
      </c>
      <c r="C70" t="s">
        <v>58</v>
      </c>
      <c r="D70">
        <v>19</v>
      </c>
      <c r="E70">
        <v>1</v>
      </c>
      <c r="F70">
        <v>11.83</v>
      </c>
      <c r="G70">
        <v>750</v>
      </c>
      <c r="J70" t="s">
        <v>324</v>
      </c>
      <c r="K70" s="8">
        <v>1</v>
      </c>
      <c r="L70" s="8">
        <v>1</v>
      </c>
      <c r="M70" t="str">
        <f t="shared" si="1"/>
        <v>Melamine-H2033-Chene de Hunton fonce-ST10 19 mm</v>
      </c>
      <c r="N70" s="8">
        <v>1</v>
      </c>
      <c r="O70" s="8">
        <v>1</v>
      </c>
      <c r="P70" s="8">
        <v>0</v>
      </c>
      <c r="Q70" s="8" t="s">
        <v>61</v>
      </c>
      <c r="R70" s="8" t="s">
        <v>62</v>
      </c>
      <c r="AB70" t="s">
        <v>325</v>
      </c>
      <c r="AD70" t="s">
        <v>326</v>
      </c>
      <c r="AE70" s="8">
        <v>1</v>
      </c>
      <c r="AF70" s="8">
        <v>0</v>
      </c>
      <c r="AG70" s="8" t="s">
        <v>65</v>
      </c>
      <c r="AH70" s="8">
        <v>1</v>
      </c>
      <c r="AI70" s="8">
        <v>1</v>
      </c>
      <c r="AJ70" s="8">
        <v>1</v>
      </c>
      <c r="AK70" s="8">
        <v>1</v>
      </c>
      <c r="AR70" s="8">
        <v>2790</v>
      </c>
      <c r="AS70" s="8">
        <v>2070</v>
      </c>
      <c r="AT70">
        <v>7787245</v>
      </c>
      <c r="AU70" s="8" t="s">
        <v>66</v>
      </c>
      <c r="AW70" s="8">
        <v>0</v>
      </c>
    </row>
    <row r="71" spans="1:49" x14ac:dyDescent="0.25">
      <c r="A71" t="s">
        <v>327</v>
      </c>
      <c r="B71">
        <v>4766308</v>
      </c>
      <c r="C71" t="s">
        <v>58</v>
      </c>
      <c r="D71">
        <v>19</v>
      </c>
      <c r="E71">
        <v>1</v>
      </c>
      <c r="F71">
        <v>11.83</v>
      </c>
      <c r="G71">
        <v>750</v>
      </c>
      <c r="J71" t="s">
        <v>328</v>
      </c>
      <c r="K71" s="8">
        <v>1</v>
      </c>
      <c r="L71" s="8">
        <v>1</v>
      </c>
      <c r="M71" t="str">
        <f t="shared" si="1"/>
        <v>Melamine-H3003-Chene Norwich-ST19 19 mm</v>
      </c>
      <c r="N71" s="8">
        <v>1</v>
      </c>
      <c r="O71" s="8">
        <v>1</v>
      </c>
      <c r="P71" s="8">
        <v>0</v>
      </c>
      <c r="Q71" s="8" t="s">
        <v>61</v>
      </c>
      <c r="R71" s="8" t="s">
        <v>62</v>
      </c>
      <c r="AB71" t="s">
        <v>329</v>
      </c>
      <c r="AD71" t="s">
        <v>330</v>
      </c>
      <c r="AE71" s="8">
        <v>1</v>
      </c>
      <c r="AF71" s="8">
        <v>0</v>
      </c>
      <c r="AG71" s="8" t="s">
        <v>65</v>
      </c>
      <c r="AH71" s="8">
        <v>1</v>
      </c>
      <c r="AI71" s="8">
        <v>1</v>
      </c>
      <c r="AJ71" s="8">
        <v>1</v>
      </c>
      <c r="AK71" s="8">
        <v>1</v>
      </c>
      <c r="AR71" s="8">
        <v>2790</v>
      </c>
      <c r="AS71" s="8">
        <v>2070</v>
      </c>
      <c r="AT71">
        <v>4766307</v>
      </c>
      <c r="AU71" s="8" t="s">
        <v>66</v>
      </c>
      <c r="AW71" s="8">
        <v>0</v>
      </c>
    </row>
    <row r="72" spans="1:49" x14ac:dyDescent="0.25">
      <c r="A72" t="s">
        <v>331</v>
      </c>
      <c r="B72">
        <v>7786434</v>
      </c>
      <c r="C72" t="s">
        <v>58</v>
      </c>
      <c r="D72">
        <v>19</v>
      </c>
      <c r="E72">
        <v>1</v>
      </c>
      <c r="F72">
        <v>14.23</v>
      </c>
      <c r="G72">
        <v>750</v>
      </c>
      <c r="J72" t="s">
        <v>332</v>
      </c>
      <c r="K72" s="8">
        <v>1</v>
      </c>
      <c r="L72" s="8">
        <v>1</v>
      </c>
      <c r="M72" t="str">
        <f t="shared" si="1"/>
        <v>Melamine-H3012-Coco bolo-ST22 19 mm</v>
      </c>
      <c r="N72" s="8">
        <v>1</v>
      </c>
      <c r="O72" s="8">
        <v>1</v>
      </c>
      <c r="P72" s="8">
        <v>0</v>
      </c>
      <c r="Q72" s="8" t="s">
        <v>61</v>
      </c>
      <c r="R72" s="8" t="s">
        <v>62</v>
      </c>
      <c r="AB72" t="s">
        <v>333</v>
      </c>
      <c r="AD72" t="s">
        <v>334</v>
      </c>
      <c r="AE72" s="8">
        <v>1</v>
      </c>
      <c r="AF72" s="8">
        <v>0</v>
      </c>
      <c r="AG72" s="8" t="s">
        <v>65</v>
      </c>
      <c r="AH72" s="8">
        <v>1</v>
      </c>
      <c r="AI72" s="8">
        <v>1</v>
      </c>
      <c r="AJ72" s="8">
        <v>1</v>
      </c>
      <c r="AK72" s="8">
        <v>1</v>
      </c>
      <c r="AR72" s="8">
        <v>2790</v>
      </c>
      <c r="AS72" s="8">
        <v>2070</v>
      </c>
      <c r="AT72">
        <v>7786434</v>
      </c>
      <c r="AU72" s="8" t="s">
        <v>66</v>
      </c>
      <c r="AW72" s="8">
        <v>0</v>
      </c>
    </row>
    <row r="73" spans="1:49" x14ac:dyDescent="0.25">
      <c r="A73" t="s">
        <v>335</v>
      </c>
      <c r="B73">
        <v>4766311</v>
      </c>
      <c r="C73" t="s">
        <v>58</v>
      </c>
      <c r="D73">
        <v>19</v>
      </c>
      <c r="E73">
        <v>1</v>
      </c>
      <c r="F73">
        <v>11.26</v>
      </c>
      <c r="G73">
        <v>750</v>
      </c>
      <c r="J73" t="s">
        <v>336</v>
      </c>
      <c r="K73" s="8">
        <v>1</v>
      </c>
      <c r="L73" s="8">
        <v>1</v>
      </c>
      <c r="M73" t="str">
        <f t="shared" si="1"/>
        <v>Melamine-H3043-Eucalyptus brun fonce-ST12 19 mm</v>
      </c>
      <c r="N73" s="8">
        <v>1</v>
      </c>
      <c r="O73" s="8">
        <v>1</v>
      </c>
      <c r="P73" s="8">
        <v>0</v>
      </c>
      <c r="Q73" s="8" t="s">
        <v>61</v>
      </c>
      <c r="R73" s="8" t="s">
        <v>62</v>
      </c>
      <c r="AB73" t="s">
        <v>337</v>
      </c>
      <c r="AD73" t="s">
        <v>338</v>
      </c>
      <c r="AE73" s="8">
        <v>1</v>
      </c>
      <c r="AF73" s="8">
        <v>0</v>
      </c>
      <c r="AG73" s="8" t="s">
        <v>65</v>
      </c>
      <c r="AH73" s="8">
        <v>1</v>
      </c>
      <c r="AI73" s="8">
        <v>1</v>
      </c>
      <c r="AJ73" s="8">
        <v>1</v>
      </c>
      <c r="AK73" s="8">
        <v>1</v>
      </c>
      <c r="AR73" s="8">
        <v>2790</v>
      </c>
      <c r="AS73" s="8">
        <v>2070</v>
      </c>
      <c r="AT73">
        <v>4766311</v>
      </c>
      <c r="AU73" s="8" t="s">
        <v>66</v>
      </c>
      <c r="AW73" s="8">
        <v>0</v>
      </c>
    </row>
    <row r="74" spans="1:49" x14ac:dyDescent="0.25">
      <c r="A74" t="s">
        <v>339</v>
      </c>
      <c r="B74">
        <v>4766314</v>
      </c>
      <c r="C74" t="s">
        <v>58</v>
      </c>
      <c r="D74">
        <v>19</v>
      </c>
      <c r="E74">
        <v>1</v>
      </c>
      <c r="F74">
        <v>15.79</v>
      </c>
      <c r="G74">
        <v>750</v>
      </c>
      <c r="J74" t="s">
        <v>340</v>
      </c>
      <c r="K74" s="8">
        <v>1</v>
      </c>
      <c r="L74" s="8">
        <v>1</v>
      </c>
      <c r="M74" t="str">
        <f t="shared" si="1"/>
        <v>Melamine-H305-Chene Tonsberg naturel-ST12 19 mm</v>
      </c>
      <c r="N74" s="8">
        <v>1</v>
      </c>
      <c r="O74" s="8">
        <v>1</v>
      </c>
      <c r="P74" s="8">
        <v>0</v>
      </c>
      <c r="Q74" s="8" t="s">
        <v>61</v>
      </c>
      <c r="R74" s="8" t="s">
        <v>62</v>
      </c>
      <c r="AB74" t="s">
        <v>341</v>
      </c>
      <c r="AD74" t="s">
        <v>342</v>
      </c>
      <c r="AE74" s="8">
        <v>1</v>
      </c>
      <c r="AF74" s="8">
        <v>0</v>
      </c>
      <c r="AG74" s="8" t="s">
        <v>65</v>
      </c>
      <c r="AH74" s="8">
        <v>1</v>
      </c>
      <c r="AI74" s="8">
        <v>1</v>
      </c>
      <c r="AJ74" s="8">
        <v>1</v>
      </c>
      <c r="AK74" s="8">
        <v>1</v>
      </c>
      <c r="AR74" s="8">
        <v>2790</v>
      </c>
      <c r="AS74" s="8">
        <v>2070</v>
      </c>
      <c r="AT74">
        <v>4766314</v>
      </c>
      <c r="AU74" s="8" t="s">
        <v>66</v>
      </c>
      <c r="AW74" s="8">
        <v>0</v>
      </c>
    </row>
    <row r="75" spans="1:49" x14ac:dyDescent="0.25">
      <c r="A75" t="s">
        <v>343</v>
      </c>
      <c r="B75">
        <v>4766317</v>
      </c>
      <c r="C75" t="s">
        <v>58</v>
      </c>
      <c r="D75">
        <v>19</v>
      </c>
      <c r="E75">
        <v>1</v>
      </c>
      <c r="F75">
        <v>15.79</v>
      </c>
      <c r="G75">
        <v>750</v>
      </c>
      <c r="J75" t="s">
        <v>344</v>
      </c>
      <c r="K75" s="8">
        <v>1</v>
      </c>
      <c r="L75" s="8">
        <v>1</v>
      </c>
      <c r="M75" t="str">
        <f t="shared" si="1"/>
        <v>Melamine-H309-Chene Tonsberg marron fonce-ST12 19 mm</v>
      </c>
      <c r="N75" s="8">
        <v>1</v>
      </c>
      <c r="O75" s="8">
        <v>1</v>
      </c>
      <c r="P75" s="8">
        <v>0</v>
      </c>
      <c r="Q75" s="8" t="s">
        <v>61</v>
      </c>
      <c r="R75" s="8" t="s">
        <v>62</v>
      </c>
      <c r="AB75" t="s">
        <v>345</v>
      </c>
      <c r="AD75" t="s">
        <v>346</v>
      </c>
      <c r="AE75" s="8">
        <v>1</v>
      </c>
      <c r="AF75" s="8">
        <v>0</v>
      </c>
      <c r="AG75" s="8" t="s">
        <v>65</v>
      </c>
      <c r="AH75" s="8">
        <v>1</v>
      </c>
      <c r="AI75" s="8">
        <v>1</v>
      </c>
      <c r="AJ75" s="8">
        <v>1</v>
      </c>
      <c r="AK75" s="8">
        <v>1</v>
      </c>
      <c r="AR75" s="8">
        <v>2790</v>
      </c>
      <c r="AS75" s="8">
        <v>2070</v>
      </c>
      <c r="AT75">
        <v>4766317</v>
      </c>
      <c r="AU75" s="8" t="s">
        <v>66</v>
      </c>
      <c r="AW75" s="8">
        <v>0</v>
      </c>
    </row>
    <row r="76" spans="1:49" x14ac:dyDescent="0.25">
      <c r="A76" t="s">
        <v>347</v>
      </c>
      <c r="B76">
        <v>7786437</v>
      </c>
      <c r="C76" t="s">
        <v>58</v>
      </c>
      <c r="D76">
        <v>19</v>
      </c>
      <c r="E76">
        <v>1</v>
      </c>
      <c r="F76">
        <v>11.45</v>
      </c>
      <c r="G76">
        <v>750</v>
      </c>
      <c r="J76" t="s">
        <v>348</v>
      </c>
      <c r="K76" s="8">
        <v>1</v>
      </c>
      <c r="L76" s="8">
        <v>1</v>
      </c>
      <c r="M76" t="str">
        <f t="shared" si="1"/>
        <v>Melamine-H3131-Chene Davos naturel-ST12 19 mm</v>
      </c>
      <c r="N76" s="8">
        <v>1</v>
      </c>
      <c r="O76" s="8">
        <v>1</v>
      </c>
      <c r="P76" s="8">
        <v>0</v>
      </c>
      <c r="Q76" s="8" t="s">
        <v>61</v>
      </c>
      <c r="R76" s="8" t="s">
        <v>62</v>
      </c>
      <c r="AB76" t="s">
        <v>349</v>
      </c>
      <c r="AD76" t="s">
        <v>350</v>
      </c>
      <c r="AE76" s="8">
        <v>1</v>
      </c>
      <c r="AF76" s="8">
        <v>0</v>
      </c>
      <c r="AG76" s="8" t="s">
        <v>65</v>
      </c>
      <c r="AH76" s="8">
        <v>1</v>
      </c>
      <c r="AI76" s="8">
        <v>1</v>
      </c>
      <c r="AJ76" s="8">
        <v>1</v>
      </c>
      <c r="AK76" s="8">
        <v>1</v>
      </c>
      <c r="AR76" s="8">
        <v>2790</v>
      </c>
      <c r="AS76" s="8">
        <v>2070</v>
      </c>
      <c r="AT76">
        <v>7787249</v>
      </c>
      <c r="AU76" s="8" t="s">
        <v>66</v>
      </c>
      <c r="AW76" s="8">
        <v>0</v>
      </c>
    </row>
    <row r="77" spans="1:49" x14ac:dyDescent="0.25">
      <c r="A77" t="s">
        <v>351</v>
      </c>
      <c r="B77">
        <v>7786438</v>
      </c>
      <c r="C77" t="s">
        <v>58</v>
      </c>
      <c r="D77">
        <v>19</v>
      </c>
      <c r="E77">
        <v>1</v>
      </c>
      <c r="F77">
        <v>15.12</v>
      </c>
      <c r="G77">
        <v>750</v>
      </c>
      <c r="J77" t="s">
        <v>352</v>
      </c>
      <c r="K77" s="8">
        <v>1</v>
      </c>
      <c r="L77" s="8">
        <v>1</v>
      </c>
      <c r="M77" t="str">
        <f t="shared" si="1"/>
        <v>Melamine-H3133-Chene Davos chamois-ST12 19 mm</v>
      </c>
      <c r="N77" s="8">
        <v>1</v>
      </c>
      <c r="O77" s="8">
        <v>1</v>
      </c>
      <c r="P77" s="8">
        <v>0</v>
      </c>
      <c r="Q77" s="8" t="s">
        <v>61</v>
      </c>
      <c r="R77" s="8" t="s">
        <v>62</v>
      </c>
      <c r="AB77" t="s">
        <v>353</v>
      </c>
      <c r="AD77" t="s">
        <v>354</v>
      </c>
      <c r="AE77" s="8">
        <v>1</v>
      </c>
      <c r="AF77" s="8">
        <v>0</v>
      </c>
      <c r="AG77" s="8" t="s">
        <v>65</v>
      </c>
      <c r="AH77" s="8">
        <v>1</v>
      </c>
      <c r="AI77" s="8">
        <v>1</v>
      </c>
      <c r="AJ77" s="8">
        <v>1</v>
      </c>
      <c r="AK77" s="8">
        <v>1</v>
      </c>
      <c r="AR77" s="8">
        <v>2790</v>
      </c>
      <c r="AS77" s="8">
        <v>2070</v>
      </c>
      <c r="AT77">
        <v>7786438</v>
      </c>
      <c r="AU77" s="8" t="s">
        <v>66</v>
      </c>
      <c r="AW77" s="8">
        <v>0</v>
      </c>
    </row>
    <row r="78" spans="1:49" x14ac:dyDescent="0.25">
      <c r="A78" t="s">
        <v>355</v>
      </c>
      <c r="B78">
        <v>7786439</v>
      </c>
      <c r="C78" t="s">
        <v>58</v>
      </c>
      <c r="D78">
        <v>19</v>
      </c>
      <c r="E78">
        <v>1</v>
      </c>
      <c r="F78">
        <v>15.79</v>
      </c>
      <c r="G78">
        <v>750</v>
      </c>
      <c r="J78" t="s">
        <v>356</v>
      </c>
      <c r="K78" s="8">
        <v>1</v>
      </c>
      <c r="L78" s="8">
        <v>1</v>
      </c>
      <c r="M78" t="str">
        <f t="shared" si="1"/>
        <v>Melamine-H3146-Chene Lorenzo sable-ST19 19 mm</v>
      </c>
      <c r="N78" s="8">
        <v>1</v>
      </c>
      <c r="O78" s="8">
        <v>1</v>
      </c>
      <c r="P78" s="8">
        <v>0</v>
      </c>
      <c r="Q78" s="8" t="s">
        <v>61</v>
      </c>
      <c r="R78" s="8" t="s">
        <v>62</v>
      </c>
      <c r="AB78" t="s">
        <v>357</v>
      </c>
      <c r="AD78" t="s">
        <v>358</v>
      </c>
      <c r="AE78" s="8">
        <v>1</v>
      </c>
      <c r="AF78" s="8">
        <v>0</v>
      </c>
      <c r="AG78" s="8" t="s">
        <v>65</v>
      </c>
      <c r="AH78" s="8">
        <v>1</v>
      </c>
      <c r="AI78" s="8">
        <v>1</v>
      </c>
      <c r="AJ78" s="8">
        <v>1</v>
      </c>
      <c r="AK78" s="8">
        <v>1</v>
      </c>
      <c r="AR78" s="8">
        <v>2790</v>
      </c>
      <c r="AS78" s="8">
        <v>2070</v>
      </c>
      <c r="AT78">
        <v>7786439</v>
      </c>
      <c r="AU78" s="8" t="s">
        <v>66</v>
      </c>
      <c r="AW78" s="8">
        <v>0</v>
      </c>
    </row>
    <row r="79" spans="1:49" x14ac:dyDescent="0.25">
      <c r="A79" t="s">
        <v>359</v>
      </c>
      <c r="B79">
        <v>4766320</v>
      </c>
      <c r="C79" t="s">
        <v>58</v>
      </c>
      <c r="D79">
        <v>19</v>
      </c>
      <c r="E79">
        <v>1</v>
      </c>
      <c r="F79">
        <v>15.79</v>
      </c>
      <c r="G79">
        <v>750</v>
      </c>
      <c r="J79" t="s">
        <v>360</v>
      </c>
      <c r="K79" s="8">
        <v>1</v>
      </c>
      <c r="L79" s="8">
        <v>1</v>
      </c>
      <c r="M79" t="str">
        <f t="shared" si="1"/>
        <v>Melamine-H3152-Chene Vicenza blanchi-ST19 19 mm</v>
      </c>
      <c r="N79" s="8">
        <v>1</v>
      </c>
      <c r="O79" s="8">
        <v>1</v>
      </c>
      <c r="P79" s="8">
        <v>0</v>
      </c>
      <c r="Q79" s="8" t="s">
        <v>61</v>
      </c>
      <c r="R79" s="8" t="s">
        <v>62</v>
      </c>
      <c r="AB79" t="s">
        <v>361</v>
      </c>
      <c r="AD79" t="s">
        <v>362</v>
      </c>
      <c r="AE79" s="8">
        <v>1</v>
      </c>
      <c r="AF79" s="8">
        <v>0</v>
      </c>
      <c r="AG79" s="8" t="s">
        <v>65</v>
      </c>
      <c r="AH79" s="8">
        <v>1</v>
      </c>
      <c r="AI79" s="8">
        <v>1</v>
      </c>
      <c r="AJ79" s="8">
        <v>1</v>
      </c>
      <c r="AK79" s="8">
        <v>1</v>
      </c>
      <c r="AR79" s="8">
        <v>2790</v>
      </c>
      <c r="AS79" s="8">
        <v>2070</v>
      </c>
      <c r="AT79">
        <v>4766320</v>
      </c>
      <c r="AU79" s="8" t="s">
        <v>66</v>
      </c>
      <c r="AW79" s="8">
        <v>0</v>
      </c>
    </row>
    <row r="80" spans="1:49" x14ac:dyDescent="0.25">
      <c r="A80" t="s">
        <v>363</v>
      </c>
      <c r="B80">
        <v>7786440</v>
      </c>
      <c r="C80" t="s">
        <v>58</v>
      </c>
      <c r="D80">
        <v>19</v>
      </c>
      <c r="E80">
        <v>1</v>
      </c>
      <c r="F80">
        <v>21.16</v>
      </c>
      <c r="G80">
        <v>750</v>
      </c>
      <c r="J80" t="s">
        <v>364</v>
      </c>
      <c r="K80" s="8">
        <v>1</v>
      </c>
      <c r="L80" s="8">
        <v>1</v>
      </c>
      <c r="M80" t="str">
        <f t="shared" si="1"/>
        <v>Melamine-H3154-Chene Charleston chatain fonce-ST36 19 mm</v>
      </c>
      <c r="N80" s="8">
        <v>1</v>
      </c>
      <c r="O80" s="8">
        <v>1</v>
      </c>
      <c r="P80" s="8">
        <v>0</v>
      </c>
      <c r="Q80" s="8" t="s">
        <v>61</v>
      </c>
      <c r="R80" s="8" t="s">
        <v>62</v>
      </c>
      <c r="AB80" t="s">
        <v>365</v>
      </c>
      <c r="AD80" t="s">
        <v>366</v>
      </c>
      <c r="AE80" s="8">
        <v>1</v>
      </c>
      <c r="AF80" s="8">
        <v>0</v>
      </c>
      <c r="AG80" s="8" t="s">
        <v>65</v>
      </c>
      <c r="AH80" s="8">
        <v>1</v>
      </c>
      <c r="AI80" s="8">
        <v>1</v>
      </c>
      <c r="AJ80" s="8">
        <v>1</v>
      </c>
      <c r="AK80" s="8">
        <v>1</v>
      </c>
      <c r="AR80" s="8">
        <v>2790</v>
      </c>
      <c r="AS80" s="8">
        <v>2070</v>
      </c>
      <c r="AT80">
        <v>7786440</v>
      </c>
      <c r="AU80" s="8" t="s">
        <v>66</v>
      </c>
      <c r="AW80" s="8">
        <v>0</v>
      </c>
    </row>
    <row r="81" spans="1:49" x14ac:dyDescent="0.25">
      <c r="A81" t="s">
        <v>367</v>
      </c>
      <c r="B81">
        <v>7786441</v>
      </c>
      <c r="C81" t="s">
        <v>58</v>
      </c>
      <c r="D81">
        <v>19</v>
      </c>
      <c r="E81">
        <v>1</v>
      </c>
      <c r="F81">
        <v>11.06</v>
      </c>
      <c r="G81">
        <v>750</v>
      </c>
      <c r="J81" t="s">
        <v>368</v>
      </c>
      <c r="K81" s="8">
        <v>1</v>
      </c>
      <c r="L81" s="8">
        <v>1</v>
      </c>
      <c r="M81" t="str">
        <f t="shared" si="1"/>
        <v>Melamine-H3156-Chene Corbridge gris-ST12 19 mm</v>
      </c>
      <c r="N81" s="8">
        <v>1</v>
      </c>
      <c r="O81" s="8">
        <v>1</v>
      </c>
      <c r="P81" s="8">
        <v>0</v>
      </c>
      <c r="Q81" s="8" t="s">
        <v>61</v>
      </c>
      <c r="R81" s="8" t="s">
        <v>62</v>
      </c>
      <c r="AB81" t="s">
        <v>369</v>
      </c>
      <c r="AD81" t="s">
        <v>370</v>
      </c>
      <c r="AE81" s="8">
        <v>1</v>
      </c>
      <c r="AF81" s="8">
        <v>0</v>
      </c>
      <c r="AG81" s="8" t="s">
        <v>65</v>
      </c>
      <c r="AH81" s="8">
        <v>1</v>
      </c>
      <c r="AI81" s="8">
        <v>1</v>
      </c>
      <c r="AJ81" s="8">
        <v>1</v>
      </c>
      <c r="AK81" s="8">
        <v>1</v>
      </c>
      <c r="AR81" s="8">
        <v>2790</v>
      </c>
      <c r="AS81" s="8">
        <v>2070</v>
      </c>
      <c r="AT81">
        <v>7787253</v>
      </c>
      <c r="AU81" s="8" t="s">
        <v>66</v>
      </c>
      <c r="AW81" s="8">
        <v>0</v>
      </c>
    </row>
    <row r="82" spans="1:49" x14ac:dyDescent="0.25">
      <c r="A82" t="s">
        <v>371</v>
      </c>
      <c r="B82">
        <v>7786442</v>
      </c>
      <c r="C82" t="s">
        <v>58</v>
      </c>
      <c r="D82">
        <v>19</v>
      </c>
      <c r="E82">
        <v>1</v>
      </c>
      <c r="F82">
        <v>14.23</v>
      </c>
      <c r="G82">
        <v>750</v>
      </c>
      <c r="J82" t="s">
        <v>372</v>
      </c>
      <c r="K82" s="8">
        <v>1</v>
      </c>
      <c r="L82" s="8">
        <v>1</v>
      </c>
      <c r="M82" t="str">
        <f t="shared" si="1"/>
        <v>Melamine-H3157-Chene Vicenza-ST12 19 mm</v>
      </c>
      <c r="N82" s="8">
        <v>1</v>
      </c>
      <c r="O82" s="8">
        <v>1</v>
      </c>
      <c r="P82" s="8">
        <v>0</v>
      </c>
      <c r="Q82" s="8" t="s">
        <v>61</v>
      </c>
      <c r="R82" s="8" t="s">
        <v>62</v>
      </c>
      <c r="AB82" t="s">
        <v>373</v>
      </c>
      <c r="AD82" t="s">
        <v>374</v>
      </c>
      <c r="AE82" s="8">
        <v>1</v>
      </c>
      <c r="AF82" s="8">
        <v>0</v>
      </c>
      <c r="AG82" s="8" t="s">
        <v>65</v>
      </c>
      <c r="AH82" s="8">
        <v>1</v>
      </c>
      <c r="AI82" s="8">
        <v>1</v>
      </c>
      <c r="AJ82" s="8">
        <v>1</v>
      </c>
      <c r="AK82" s="8">
        <v>1</v>
      </c>
      <c r="AR82" s="8">
        <v>2790</v>
      </c>
      <c r="AS82" s="8">
        <v>2070</v>
      </c>
      <c r="AT82">
        <v>7786442</v>
      </c>
      <c r="AU82" s="8" t="s">
        <v>66</v>
      </c>
      <c r="AW82" s="8">
        <v>0</v>
      </c>
    </row>
    <row r="83" spans="1:49" x14ac:dyDescent="0.25">
      <c r="A83" t="s">
        <v>375</v>
      </c>
      <c r="B83">
        <v>7786443</v>
      </c>
      <c r="C83" t="s">
        <v>58</v>
      </c>
      <c r="D83">
        <v>19</v>
      </c>
      <c r="E83">
        <v>1</v>
      </c>
      <c r="F83">
        <v>15.79</v>
      </c>
      <c r="G83">
        <v>750</v>
      </c>
      <c r="J83" t="s">
        <v>376</v>
      </c>
      <c r="K83" s="8">
        <v>1</v>
      </c>
      <c r="L83" s="8">
        <v>1</v>
      </c>
      <c r="M83" t="str">
        <f t="shared" si="1"/>
        <v>Melamine-H3158-Chene Vicenza gris-ST19 19 mm</v>
      </c>
      <c r="N83" s="8">
        <v>1</v>
      </c>
      <c r="O83" s="8">
        <v>1</v>
      </c>
      <c r="P83" s="8">
        <v>0</v>
      </c>
      <c r="Q83" s="8" t="s">
        <v>61</v>
      </c>
      <c r="R83" s="8" t="s">
        <v>62</v>
      </c>
      <c r="AB83" t="s">
        <v>377</v>
      </c>
      <c r="AD83" t="s">
        <v>378</v>
      </c>
      <c r="AE83" s="8">
        <v>1</v>
      </c>
      <c r="AF83" s="8">
        <v>0</v>
      </c>
      <c r="AG83" s="8" t="s">
        <v>65</v>
      </c>
      <c r="AH83" s="8">
        <v>1</v>
      </c>
      <c r="AI83" s="8">
        <v>1</v>
      </c>
      <c r="AJ83" s="8">
        <v>1</v>
      </c>
      <c r="AK83" s="8">
        <v>1</v>
      </c>
      <c r="AR83" s="8">
        <v>2790</v>
      </c>
      <c r="AS83" s="8">
        <v>2070</v>
      </c>
      <c r="AT83">
        <v>7786443</v>
      </c>
      <c r="AU83" s="8" t="s">
        <v>66</v>
      </c>
      <c r="AW83" s="8">
        <v>0</v>
      </c>
    </row>
    <row r="84" spans="1:49" x14ac:dyDescent="0.25">
      <c r="A84" t="s">
        <v>379</v>
      </c>
      <c r="B84">
        <v>4766323</v>
      </c>
      <c r="C84" t="s">
        <v>58</v>
      </c>
      <c r="D84">
        <v>19</v>
      </c>
      <c r="E84">
        <v>1</v>
      </c>
      <c r="F84">
        <v>15.12</v>
      </c>
      <c r="G84">
        <v>750</v>
      </c>
      <c r="J84" t="s">
        <v>380</v>
      </c>
      <c r="K84" s="8">
        <v>1</v>
      </c>
      <c r="L84" s="8">
        <v>1</v>
      </c>
      <c r="M84" t="str">
        <f t="shared" si="1"/>
        <v>Melamine-H3165-Chene Vicenza clair-ST12 19 mm</v>
      </c>
      <c r="N84" s="8">
        <v>1</v>
      </c>
      <c r="O84" s="8">
        <v>1</v>
      </c>
      <c r="P84" s="8">
        <v>0</v>
      </c>
      <c r="Q84" s="8" t="s">
        <v>61</v>
      </c>
      <c r="R84" s="8" t="s">
        <v>62</v>
      </c>
      <c r="AB84" t="s">
        <v>381</v>
      </c>
      <c r="AD84" t="s">
        <v>382</v>
      </c>
      <c r="AE84" s="8">
        <v>1</v>
      </c>
      <c r="AF84" s="8">
        <v>0</v>
      </c>
      <c r="AG84" s="8" t="s">
        <v>65</v>
      </c>
      <c r="AH84" s="8">
        <v>1</v>
      </c>
      <c r="AI84" s="8">
        <v>1</v>
      </c>
      <c r="AJ84" s="8">
        <v>1</v>
      </c>
      <c r="AK84" s="8">
        <v>1</v>
      </c>
      <c r="AR84" s="8">
        <v>2790</v>
      </c>
      <c r="AS84" s="8">
        <v>2070</v>
      </c>
      <c r="AT84">
        <v>4766323</v>
      </c>
      <c r="AU84" s="8" t="s">
        <v>66</v>
      </c>
      <c r="AW84" s="8">
        <v>0</v>
      </c>
    </row>
    <row r="85" spans="1:49" x14ac:dyDescent="0.25">
      <c r="A85" t="s">
        <v>383</v>
      </c>
      <c r="B85">
        <v>7786444</v>
      </c>
      <c r="C85" t="s">
        <v>58</v>
      </c>
      <c r="D85">
        <v>19</v>
      </c>
      <c r="E85">
        <v>1</v>
      </c>
      <c r="F85">
        <v>11.45</v>
      </c>
      <c r="G85">
        <v>750</v>
      </c>
      <c r="J85" t="s">
        <v>384</v>
      </c>
      <c r="K85" s="8">
        <v>1</v>
      </c>
      <c r="L85" s="8">
        <v>1</v>
      </c>
      <c r="M85" t="str">
        <f t="shared" si="1"/>
        <v>Melamine-H3170-Chene Kendal naturel-ST12 19 mm</v>
      </c>
      <c r="N85" s="8">
        <v>1</v>
      </c>
      <c r="O85" s="8">
        <v>1</v>
      </c>
      <c r="P85" s="8">
        <v>0</v>
      </c>
      <c r="Q85" s="8" t="s">
        <v>61</v>
      </c>
      <c r="R85" s="8" t="s">
        <v>62</v>
      </c>
      <c r="AB85" t="s">
        <v>385</v>
      </c>
      <c r="AD85" t="s">
        <v>386</v>
      </c>
      <c r="AE85" s="8">
        <v>1</v>
      </c>
      <c r="AF85" s="8">
        <v>0</v>
      </c>
      <c r="AG85" s="8" t="s">
        <v>65</v>
      </c>
      <c r="AH85" s="8">
        <v>1</v>
      </c>
      <c r="AI85" s="8">
        <v>1</v>
      </c>
      <c r="AJ85" s="8">
        <v>1</v>
      </c>
      <c r="AK85" s="8">
        <v>1</v>
      </c>
      <c r="AR85" s="8">
        <v>2790</v>
      </c>
      <c r="AS85" s="8">
        <v>2070</v>
      </c>
      <c r="AT85">
        <v>7787256</v>
      </c>
      <c r="AU85" s="8" t="s">
        <v>66</v>
      </c>
      <c r="AW85" s="8">
        <v>0</v>
      </c>
    </row>
    <row r="86" spans="1:49" x14ac:dyDescent="0.25">
      <c r="A86" t="s">
        <v>387</v>
      </c>
      <c r="B86">
        <v>7786445</v>
      </c>
      <c r="C86" t="s">
        <v>58</v>
      </c>
      <c r="D86">
        <v>19</v>
      </c>
      <c r="E86">
        <v>1</v>
      </c>
      <c r="F86">
        <v>15.12</v>
      </c>
      <c r="G86">
        <v>750</v>
      </c>
      <c r="J86" t="s">
        <v>388</v>
      </c>
      <c r="K86" s="8">
        <v>1</v>
      </c>
      <c r="L86" s="8">
        <v>1</v>
      </c>
      <c r="M86" t="str">
        <f t="shared" si="1"/>
        <v>Melamine-H3171-Chene Kendal huile-ST12 19 mm</v>
      </c>
      <c r="N86" s="8">
        <v>1</v>
      </c>
      <c r="O86" s="8">
        <v>1</v>
      </c>
      <c r="P86" s="8">
        <v>0</v>
      </c>
      <c r="Q86" s="8" t="s">
        <v>61</v>
      </c>
      <c r="R86" s="8" t="s">
        <v>62</v>
      </c>
      <c r="AB86" t="s">
        <v>389</v>
      </c>
      <c r="AD86" t="s">
        <v>390</v>
      </c>
      <c r="AE86" s="8">
        <v>1</v>
      </c>
      <c r="AF86" s="8">
        <v>0</v>
      </c>
      <c r="AG86" s="8" t="s">
        <v>65</v>
      </c>
      <c r="AH86" s="8">
        <v>1</v>
      </c>
      <c r="AI86" s="8">
        <v>1</v>
      </c>
      <c r="AJ86" s="8">
        <v>1</v>
      </c>
      <c r="AK86" s="8">
        <v>1</v>
      </c>
      <c r="AR86" s="8">
        <v>2790</v>
      </c>
      <c r="AS86" s="8">
        <v>2070</v>
      </c>
      <c r="AT86">
        <v>7786445</v>
      </c>
      <c r="AU86" s="8" t="s">
        <v>66</v>
      </c>
      <c r="AW86" s="8">
        <v>0</v>
      </c>
    </row>
    <row r="87" spans="1:49" x14ac:dyDescent="0.25">
      <c r="A87" t="s">
        <v>391</v>
      </c>
      <c r="B87">
        <v>7786446</v>
      </c>
      <c r="C87" t="s">
        <v>58</v>
      </c>
      <c r="D87">
        <v>19</v>
      </c>
      <c r="E87">
        <v>1</v>
      </c>
      <c r="F87">
        <v>16.440000000000001</v>
      </c>
      <c r="G87">
        <v>750</v>
      </c>
      <c r="J87" t="s">
        <v>392</v>
      </c>
      <c r="K87" s="8">
        <v>1</v>
      </c>
      <c r="L87" s="8">
        <v>1</v>
      </c>
      <c r="M87" t="str">
        <f t="shared" si="1"/>
        <v>Melamine-H3176-Chene Halifax zinc-ST37 19 mm</v>
      </c>
      <c r="N87" s="8">
        <v>1</v>
      </c>
      <c r="O87" s="8">
        <v>1</v>
      </c>
      <c r="P87" s="8">
        <v>0</v>
      </c>
      <c r="Q87" s="8" t="s">
        <v>61</v>
      </c>
      <c r="R87" s="8" t="s">
        <v>62</v>
      </c>
      <c r="AB87" t="s">
        <v>393</v>
      </c>
      <c r="AD87" t="s">
        <v>394</v>
      </c>
      <c r="AE87" s="8">
        <v>1</v>
      </c>
      <c r="AF87" s="8">
        <v>0</v>
      </c>
      <c r="AG87" s="8" t="s">
        <v>65</v>
      </c>
      <c r="AH87" s="8">
        <v>1</v>
      </c>
      <c r="AI87" s="8">
        <v>1</v>
      </c>
      <c r="AJ87" s="8">
        <v>1</v>
      </c>
      <c r="AK87" s="8">
        <v>1</v>
      </c>
      <c r="AR87" s="8">
        <v>2790</v>
      </c>
      <c r="AS87" s="8">
        <v>2070</v>
      </c>
      <c r="AT87">
        <v>7787258</v>
      </c>
      <c r="AU87" s="8" t="s">
        <v>66</v>
      </c>
      <c r="AW87" s="8">
        <v>0</v>
      </c>
    </row>
    <row r="88" spans="1:49" x14ac:dyDescent="0.25">
      <c r="A88" t="s">
        <v>395</v>
      </c>
      <c r="B88">
        <v>7786448</v>
      </c>
      <c r="C88" t="s">
        <v>58</v>
      </c>
      <c r="D88">
        <v>19</v>
      </c>
      <c r="E88">
        <v>1</v>
      </c>
      <c r="F88">
        <v>15.79</v>
      </c>
      <c r="G88">
        <v>750</v>
      </c>
      <c r="J88" t="s">
        <v>396</v>
      </c>
      <c r="K88" s="8">
        <v>1</v>
      </c>
      <c r="L88" s="8">
        <v>1</v>
      </c>
      <c r="M88" t="str">
        <f t="shared" si="1"/>
        <v>Melamine-H3190-Fineline Metallic anthracite-ST19 19 mm</v>
      </c>
      <c r="N88" s="8">
        <v>1</v>
      </c>
      <c r="O88" s="8">
        <v>1</v>
      </c>
      <c r="P88" s="8">
        <v>0</v>
      </c>
      <c r="Q88" s="8" t="s">
        <v>61</v>
      </c>
      <c r="R88" s="8" t="s">
        <v>62</v>
      </c>
      <c r="AB88" t="s">
        <v>397</v>
      </c>
      <c r="AD88" t="s">
        <v>398</v>
      </c>
      <c r="AE88" s="8">
        <v>1</v>
      </c>
      <c r="AF88" s="8">
        <v>0</v>
      </c>
      <c r="AG88" s="8" t="s">
        <v>65</v>
      </c>
      <c r="AH88" s="8">
        <v>1</v>
      </c>
      <c r="AI88" s="8">
        <v>1</v>
      </c>
      <c r="AJ88" s="8">
        <v>1</v>
      </c>
      <c r="AK88" s="8">
        <v>1</v>
      </c>
      <c r="AR88" s="8">
        <v>2790</v>
      </c>
      <c r="AS88" s="8">
        <v>2070</v>
      </c>
      <c r="AT88">
        <v>7786448</v>
      </c>
      <c r="AU88" s="8" t="s">
        <v>66</v>
      </c>
      <c r="AW88" s="8">
        <v>0</v>
      </c>
    </row>
    <row r="89" spans="1:49" x14ac:dyDescent="0.25">
      <c r="A89" t="s">
        <v>399</v>
      </c>
      <c r="B89">
        <v>4766326</v>
      </c>
      <c r="C89" t="s">
        <v>58</v>
      </c>
      <c r="D89">
        <v>19</v>
      </c>
      <c r="E89">
        <v>1</v>
      </c>
      <c r="F89">
        <v>15.79</v>
      </c>
      <c r="G89">
        <v>750</v>
      </c>
      <c r="J89" t="s">
        <v>400</v>
      </c>
      <c r="K89" s="8">
        <v>1</v>
      </c>
      <c r="L89" s="8">
        <v>1</v>
      </c>
      <c r="M89" t="str">
        <f t="shared" si="1"/>
        <v>Melamine-H3195-Fineline blanc-ST19 19 mm</v>
      </c>
      <c r="N89" s="8">
        <v>1</v>
      </c>
      <c r="O89" s="8">
        <v>1</v>
      </c>
      <c r="P89" s="8">
        <v>0</v>
      </c>
      <c r="Q89" s="8" t="s">
        <v>61</v>
      </c>
      <c r="R89" s="8" t="s">
        <v>62</v>
      </c>
      <c r="AB89" t="s">
        <v>401</v>
      </c>
      <c r="AD89" t="s">
        <v>402</v>
      </c>
      <c r="AE89" s="8">
        <v>1</v>
      </c>
      <c r="AF89" s="8">
        <v>0</v>
      </c>
      <c r="AG89" s="8" t="s">
        <v>65</v>
      </c>
      <c r="AH89" s="8">
        <v>1</v>
      </c>
      <c r="AI89" s="8">
        <v>1</v>
      </c>
      <c r="AJ89" s="8">
        <v>1</v>
      </c>
      <c r="AK89" s="8">
        <v>1</v>
      </c>
      <c r="AR89" s="8">
        <v>2790</v>
      </c>
      <c r="AS89" s="8">
        <v>2070</v>
      </c>
      <c r="AT89">
        <v>4766326</v>
      </c>
      <c r="AU89" s="8" t="s">
        <v>66</v>
      </c>
      <c r="AW89" s="8">
        <v>0</v>
      </c>
    </row>
    <row r="90" spans="1:49" x14ac:dyDescent="0.25">
      <c r="A90" t="s">
        <v>403</v>
      </c>
      <c r="B90">
        <v>4766329</v>
      </c>
      <c r="C90" t="s">
        <v>58</v>
      </c>
      <c r="D90">
        <v>19</v>
      </c>
      <c r="E90">
        <v>1</v>
      </c>
      <c r="F90">
        <v>15.79</v>
      </c>
      <c r="G90">
        <v>750</v>
      </c>
      <c r="J90" t="s">
        <v>404</v>
      </c>
      <c r="K90" s="8">
        <v>1</v>
      </c>
      <c r="L90" s="8">
        <v>1</v>
      </c>
      <c r="M90" t="str">
        <f t="shared" si="1"/>
        <v>Melamine-H3197-Fineline gris moyen-ST19 19 mm</v>
      </c>
      <c r="N90" s="8">
        <v>1</v>
      </c>
      <c r="O90" s="8">
        <v>1</v>
      </c>
      <c r="P90" s="8">
        <v>0</v>
      </c>
      <c r="Q90" s="8" t="s">
        <v>61</v>
      </c>
      <c r="R90" s="8" t="s">
        <v>62</v>
      </c>
      <c r="AB90" t="s">
        <v>405</v>
      </c>
      <c r="AD90" t="s">
        <v>406</v>
      </c>
      <c r="AE90" s="8">
        <v>1</v>
      </c>
      <c r="AF90" s="8">
        <v>0</v>
      </c>
      <c r="AG90" s="8" t="s">
        <v>65</v>
      </c>
      <c r="AH90" s="8">
        <v>1</v>
      </c>
      <c r="AI90" s="8">
        <v>1</v>
      </c>
      <c r="AJ90" s="8">
        <v>1</v>
      </c>
      <c r="AK90" s="8">
        <v>1</v>
      </c>
      <c r="AR90" s="8">
        <v>2790</v>
      </c>
      <c r="AS90" s="8">
        <v>2070</v>
      </c>
      <c r="AT90">
        <v>4766329</v>
      </c>
      <c r="AU90" s="8" t="s">
        <v>66</v>
      </c>
      <c r="AW90" s="8">
        <v>0</v>
      </c>
    </row>
    <row r="91" spans="1:49" x14ac:dyDescent="0.25">
      <c r="A91" t="s">
        <v>407</v>
      </c>
      <c r="B91">
        <v>4766332</v>
      </c>
      <c r="C91" t="s">
        <v>58</v>
      </c>
      <c r="D91">
        <v>19</v>
      </c>
      <c r="E91">
        <v>1</v>
      </c>
      <c r="F91">
        <v>11.83</v>
      </c>
      <c r="G91">
        <v>750</v>
      </c>
      <c r="J91" t="s">
        <v>408</v>
      </c>
      <c r="K91" s="8">
        <v>1</v>
      </c>
      <c r="L91" s="8">
        <v>1</v>
      </c>
      <c r="M91" t="str">
        <f t="shared" si="1"/>
        <v>Melamine-H3198-Fineline gris fonce-ST19 19 mm</v>
      </c>
      <c r="N91" s="8">
        <v>1</v>
      </c>
      <c r="O91" s="8">
        <v>1</v>
      </c>
      <c r="P91" s="8">
        <v>0</v>
      </c>
      <c r="Q91" s="8" t="s">
        <v>61</v>
      </c>
      <c r="R91" s="8" t="s">
        <v>62</v>
      </c>
      <c r="AB91" t="s">
        <v>409</v>
      </c>
      <c r="AD91" t="s">
        <v>410</v>
      </c>
      <c r="AE91" s="8">
        <v>1</v>
      </c>
      <c r="AF91" s="8">
        <v>0</v>
      </c>
      <c r="AG91" s="8" t="s">
        <v>65</v>
      </c>
      <c r="AH91" s="8">
        <v>1</v>
      </c>
      <c r="AI91" s="8">
        <v>1</v>
      </c>
      <c r="AJ91" s="8">
        <v>1</v>
      </c>
      <c r="AK91" s="8">
        <v>1</v>
      </c>
      <c r="AR91" s="8">
        <v>2790</v>
      </c>
      <c r="AS91" s="8">
        <v>2070</v>
      </c>
      <c r="AT91">
        <v>4766331</v>
      </c>
      <c r="AU91" s="8" t="s">
        <v>66</v>
      </c>
      <c r="AW91" s="8">
        <v>0</v>
      </c>
    </row>
    <row r="92" spans="1:49" x14ac:dyDescent="0.25">
      <c r="A92" t="s">
        <v>411</v>
      </c>
      <c r="B92">
        <v>7786450</v>
      </c>
      <c r="C92" t="s">
        <v>58</v>
      </c>
      <c r="D92">
        <v>19</v>
      </c>
      <c r="E92">
        <v>1</v>
      </c>
      <c r="F92">
        <v>11.83</v>
      </c>
      <c r="G92">
        <v>750</v>
      </c>
      <c r="J92" t="s">
        <v>412</v>
      </c>
      <c r="K92" s="8">
        <v>1</v>
      </c>
      <c r="L92" s="8">
        <v>1</v>
      </c>
      <c r="M92" t="str">
        <f t="shared" si="1"/>
        <v>Melamine-H3303-Chene Hamilton naturel-ST10 19 mm</v>
      </c>
      <c r="N92" s="8">
        <v>1</v>
      </c>
      <c r="O92" s="8">
        <v>1</v>
      </c>
      <c r="P92" s="8">
        <v>0</v>
      </c>
      <c r="Q92" s="8" t="s">
        <v>61</v>
      </c>
      <c r="R92" s="8" t="s">
        <v>62</v>
      </c>
      <c r="AB92" t="s">
        <v>413</v>
      </c>
      <c r="AD92" t="s">
        <v>414</v>
      </c>
      <c r="AE92" s="8">
        <v>1</v>
      </c>
      <c r="AF92" s="8">
        <v>0</v>
      </c>
      <c r="AG92" s="8" t="s">
        <v>65</v>
      </c>
      <c r="AH92" s="8">
        <v>1</v>
      </c>
      <c r="AI92" s="8">
        <v>1</v>
      </c>
      <c r="AJ92" s="8">
        <v>1</v>
      </c>
      <c r="AK92" s="8">
        <v>1</v>
      </c>
      <c r="AR92" s="8">
        <v>2790</v>
      </c>
      <c r="AS92" s="8">
        <v>2070</v>
      </c>
      <c r="AT92">
        <v>7787262</v>
      </c>
      <c r="AU92" s="8" t="s">
        <v>66</v>
      </c>
      <c r="AW92" s="8">
        <v>0</v>
      </c>
    </row>
    <row r="93" spans="1:49" x14ac:dyDescent="0.25">
      <c r="A93" t="s">
        <v>415</v>
      </c>
      <c r="B93">
        <v>7786451</v>
      </c>
      <c r="C93" t="s">
        <v>58</v>
      </c>
      <c r="D93">
        <v>19</v>
      </c>
      <c r="E93">
        <v>1</v>
      </c>
      <c r="F93">
        <v>16.440000000000001</v>
      </c>
      <c r="G93">
        <v>750</v>
      </c>
      <c r="J93" t="s">
        <v>416</v>
      </c>
      <c r="K93" s="8">
        <v>1</v>
      </c>
      <c r="L93" s="8">
        <v>1</v>
      </c>
      <c r="M93" t="str">
        <f t="shared" si="1"/>
        <v>Melamine-H3309-Chene Gladstone sable-ST28 19 mm</v>
      </c>
      <c r="N93" s="8">
        <v>1</v>
      </c>
      <c r="O93" s="8">
        <v>1</v>
      </c>
      <c r="P93" s="8">
        <v>0</v>
      </c>
      <c r="Q93" s="8" t="s">
        <v>61</v>
      </c>
      <c r="R93" s="8" t="s">
        <v>62</v>
      </c>
      <c r="AB93" t="s">
        <v>417</v>
      </c>
      <c r="AD93" t="s">
        <v>418</v>
      </c>
      <c r="AE93" s="8">
        <v>1</v>
      </c>
      <c r="AF93" s="8">
        <v>0</v>
      </c>
      <c r="AG93" s="8" t="s">
        <v>65</v>
      </c>
      <c r="AH93" s="8">
        <v>1</v>
      </c>
      <c r="AI93" s="8">
        <v>1</v>
      </c>
      <c r="AJ93" s="8">
        <v>1</v>
      </c>
      <c r="AK93" s="8">
        <v>1</v>
      </c>
      <c r="AR93" s="8">
        <v>2790</v>
      </c>
      <c r="AS93" s="8">
        <v>2070</v>
      </c>
      <c r="AT93">
        <v>7787263</v>
      </c>
      <c r="AU93" s="8" t="s">
        <v>66</v>
      </c>
      <c r="AW93" s="8">
        <v>0</v>
      </c>
    </row>
    <row r="94" spans="1:49" x14ac:dyDescent="0.25">
      <c r="A94" t="s">
        <v>419</v>
      </c>
      <c r="B94">
        <v>4766335</v>
      </c>
      <c r="C94" t="s">
        <v>58</v>
      </c>
      <c r="D94">
        <v>19</v>
      </c>
      <c r="E94">
        <v>1</v>
      </c>
      <c r="F94">
        <v>38.35</v>
      </c>
      <c r="G94">
        <v>750</v>
      </c>
      <c r="J94" t="s">
        <v>420</v>
      </c>
      <c r="K94" s="8">
        <v>1</v>
      </c>
      <c r="L94" s="8">
        <v>1</v>
      </c>
      <c r="M94" t="str">
        <f t="shared" si="1"/>
        <v>Melamine-H3311-Chene Cuneo blanchi-ST28 19 mm</v>
      </c>
      <c r="N94" s="8">
        <v>1</v>
      </c>
      <c r="O94" s="8">
        <v>1</v>
      </c>
      <c r="P94" s="8">
        <v>0</v>
      </c>
      <c r="Q94" s="8" t="s">
        <v>61</v>
      </c>
      <c r="R94" s="8" t="s">
        <v>62</v>
      </c>
      <c r="AB94" t="s">
        <v>421</v>
      </c>
      <c r="AD94" t="s">
        <v>422</v>
      </c>
      <c r="AE94" s="8">
        <v>1</v>
      </c>
      <c r="AF94" s="8">
        <v>0</v>
      </c>
      <c r="AG94" s="8" t="s">
        <v>65</v>
      </c>
      <c r="AH94" s="8">
        <v>1</v>
      </c>
      <c r="AI94" s="8">
        <v>1</v>
      </c>
      <c r="AJ94" s="8">
        <v>1</v>
      </c>
      <c r="AK94" s="8">
        <v>1</v>
      </c>
      <c r="AR94" s="8">
        <v>2790</v>
      </c>
      <c r="AS94" s="8">
        <v>2070</v>
      </c>
      <c r="AT94">
        <v>4354765</v>
      </c>
      <c r="AU94" s="8" t="s">
        <v>66</v>
      </c>
      <c r="AW94" s="8">
        <v>0</v>
      </c>
    </row>
    <row r="95" spans="1:49" x14ac:dyDescent="0.25">
      <c r="A95" t="s">
        <v>423</v>
      </c>
      <c r="B95">
        <v>4766338</v>
      </c>
      <c r="C95" t="s">
        <v>58</v>
      </c>
      <c r="D95">
        <v>19</v>
      </c>
      <c r="E95">
        <v>1</v>
      </c>
      <c r="F95">
        <v>16.440000000000001</v>
      </c>
      <c r="G95">
        <v>750</v>
      </c>
      <c r="J95" t="s">
        <v>424</v>
      </c>
      <c r="K95" s="8">
        <v>1</v>
      </c>
      <c r="L95" s="8">
        <v>1</v>
      </c>
      <c r="M95" t="str">
        <f t="shared" si="1"/>
        <v>Melamine-H3317-Chene Cuneo brun-ST28 19 mm</v>
      </c>
      <c r="N95" s="8">
        <v>1</v>
      </c>
      <c r="O95" s="8">
        <v>1</v>
      </c>
      <c r="P95" s="8">
        <v>0</v>
      </c>
      <c r="Q95" s="8" t="s">
        <v>61</v>
      </c>
      <c r="R95" s="8" t="s">
        <v>62</v>
      </c>
      <c r="AB95" t="s">
        <v>425</v>
      </c>
      <c r="AD95" t="s">
        <v>426</v>
      </c>
      <c r="AE95" s="8">
        <v>1</v>
      </c>
      <c r="AF95" s="8">
        <v>0</v>
      </c>
      <c r="AG95" s="8" t="s">
        <v>65</v>
      </c>
      <c r="AH95" s="8">
        <v>1</v>
      </c>
      <c r="AI95" s="8">
        <v>1</v>
      </c>
      <c r="AJ95" s="8">
        <v>1</v>
      </c>
      <c r="AK95" s="8">
        <v>1</v>
      </c>
      <c r="AR95" s="8">
        <v>2790</v>
      </c>
      <c r="AS95" s="8">
        <v>2070</v>
      </c>
      <c r="AT95">
        <v>4766337</v>
      </c>
      <c r="AU95" s="8" t="s">
        <v>66</v>
      </c>
      <c r="AW95" s="8">
        <v>0</v>
      </c>
    </row>
    <row r="96" spans="1:49" x14ac:dyDescent="0.25">
      <c r="A96" t="s">
        <v>427</v>
      </c>
      <c r="B96">
        <v>7786452</v>
      </c>
      <c r="C96" t="s">
        <v>58</v>
      </c>
      <c r="D96">
        <v>19</v>
      </c>
      <c r="E96">
        <v>1</v>
      </c>
      <c r="F96">
        <v>21.87</v>
      </c>
      <c r="G96">
        <v>750</v>
      </c>
      <c r="J96" t="s">
        <v>428</v>
      </c>
      <c r="K96" s="8">
        <v>1</v>
      </c>
      <c r="L96" s="8">
        <v>1</v>
      </c>
      <c r="M96" t="str">
        <f t="shared" si="1"/>
        <v>Melamine-H3325-Chene Gladstone tabac-ST28 19 mm</v>
      </c>
      <c r="N96" s="8">
        <v>1</v>
      </c>
      <c r="O96" s="8">
        <v>1</v>
      </c>
      <c r="P96" s="8">
        <v>0</v>
      </c>
      <c r="Q96" s="8" t="s">
        <v>61</v>
      </c>
      <c r="R96" s="8" t="s">
        <v>62</v>
      </c>
      <c r="AB96" t="s">
        <v>429</v>
      </c>
      <c r="AD96" t="s">
        <v>430</v>
      </c>
      <c r="AE96" s="8">
        <v>1</v>
      </c>
      <c r="AF96" s="8">
        <v>0</v>
      </c>
      <c r="AG96" s="8" t="s">
        <v>65</v>
      </c>
      <c r="AH96" s="8">
        <v>1</v>
      </c>
      <c r="AI96" s="8">
        <v>1</v>
      </c>
      <c r="AJ96" s="8">
        <v>1</v>
      </c>
      <c r="AK96" s="8">
        <v>1</v>
      </c>
      <c r="AR96" s="8">
        <v>2790</v>
      </c>
      <c r="AS96" s="8">
        <v>2070</v>
      </c>
      <c r="AT96">
        <v>7786452</v>
      </c>
      <c r="AU96" s="8" t="s">
        <v>66</v>
      </c>
      <c r="AW96" s="8">
        <v>0</v>
      </c>
    </row>
    <row r="97" spans="1:49" x14ac:dyDescent="0.25">
      <c r="A97" t="s">
        <v>431</v>
      </c>
      <c r="B97">
        <v>7786453</v>
      </c>
      <c r="C97" t="s">
        <v>58</v>
      </c>
      <c r="D97">
        <v>19</v>
      </c>
      <c r="E97">
        <v>1</v>
      </c>
      <c r="F97">
        <v>21.87</v>
      </c>
      <c r="G97">
        <v>750</v>
      </c>
      <c r="J97" t="s">
        <v>432</v>
      </c>
      <c r="K97" s="8">
        <v>1</v>
      </c>
      <c r="L97" s="8">
        <v>1</v>
      </c>
      <c r="M97" t="str">
        <f t="shared" si="1"/>
        <v>Melamine-H3326-Chene Gladstone naturel-ST28 19 mm</v>
      </c>
      <c r="N97" s="8">
        <v>1</v>
      </c>
      <c r="O97" s="8">
        <v>1</v>
      </c>
      <c r="P97" s="8">
        <v>0</v>
      </c>
      <c r="Q97" s="8" t="s">
        <v>61</v>
      </c>
      <c r="R97" s="8" t="s">
        <v>62</v>
      </c>
      <c r="AB97" t="s">
        <v>433</v>
      </c>
      <c r="AD97" t="s">
        <v>434</v>
      </c>
      <c r="AE97" s="8">
        <v>1</v>
      </c>
      <c r="AF97" s="8">
        <v>0</v>
      </c>
      <c r="AG97" s="8" t="s">
        <v>65</v>
      </c>
      <c r="AH97" s="8">
        <v>1</v>
      </c>
      <c r="AI97" s="8">
        <v>1</v>
      </c>
      <c r="AJ97" s="8">
        <v>1</v>
      </c>
      <c r="AK97" s="8">
        <v>1</v>
      </c>
      <c r="AR97" s="8">
        <v>2790</v>
      </c>
      <c r="AS97" s="8">
        <v>2070</v>
      </c>
      <c r="AT97">
        <v>7786453</v>
      </c>
      <c r="AU97" s="8" t="s">
        <v>66</v>
      </c>
      <c r="AW97" s="8">
        <v>0</v>
      </c>
    </row>
    <row r="98" spans="1:49" x14ac:dyDescent="0.25">
      <c r="A98" t="s">
        <v>435</v>
      </c>
      <c r="B98">
        <v>7786455</v>
      </c>
      <c r="C98" t="s">
        <v>58</v>
      </c>
      <c r="D98">
        <v>19</v>
      </c>
      <c r="E98">
        <v>1</v>
      </c>
      <c r="F98">
        <v>11.45</v>
      </c>
      <c r="G98">
        <v>750</v>
      </c>
      <c r="J98" t="s">
        <v>436</v>
      </c>
      <c r="K98" s="8">
        <v>1</v>
      </c>
      <c r="L98" s="8">
        <v>1</v>
      </c>
      <c r="M98" t="str">
        <f t="shared" si="1"/>
        <v>Melamine-H3331-Chene Nebraska naturel-ST10 19 mm</v>
      </c>
      <c r="N98" s="8">
        <v>1</v>
      </c>
      <c r="O98" s="8">
        <v>1</v>
      </c>
      <c r="P98" s="8">
        <v>0</v>
      </c>
      <c r="Q98" s="8" t="s">
        <v>61</v>
      </c>
      <c r="R98" s="8" t="s">
        <v>62</v>
      </c>
      <c r="AB98" t="s">
        <v>437</v>
      </c>
      <c r="AD98" t="s">
        <v>438</v>
      </c>
      <c r="AE98" s="8">
        <v>1</v>
      </c>
      <c r="AF98" s="8">
        <v>0</v>
      </c>
      <c r="AG98" s="8" t="s">
        <v>65</v>
      </c>
      <c r="AH98" s="8">
        <v>1</v>
      </c>
      <c r="AI98" s="8">
        <v>1</v>
      </c>
      <c r="AJ98" s="8">
        <v>1</v>
      </c>
      <c r="AK98" s="8">
        <v>1</v>
      </c>
      <c r="AR98" s="8">
        <v>2790</v>
      </c>
      <c r="AS98" s="8">
        <v>2070</v>
      </c>
      <c r="AT98">
        <v>7787267</v>
      </c>
      <c r="AU98" s="8" t="s">
        <v>66</v>
      </c>
      <c r="AW98" s="8">
        <v>0</v>
      </c>
    </row>
    <row r="99" spans="1:49" x14ac:dyDescent="0.25">
      <c r="A99" t="s">
        <v>439</v>
      </c>
      <c r="B99">
        <v>7786456</v>
      </c>
      <c r="C99" t="s">
        <v>58</v>
      </c>
      <c r="D99">
        <v>19</v>
      </c>
      <c r="E99">
        <v>1</v>
      </c>
      <c r="F99">
        <v>11.45</v>
      </c>
      <c r="G99">
        <v>750</v>
      </c>
      <c r="J99" t="s">
        <v>440</v>
      </c>
      <c r="K99" s="8">
        <v>1</v>
      </c>
      <c r="L99" s="8">
        <v>1</v>
      </c>
      <c r="M99" t="str">
        <f t="shared" si="1"/>
        <v>Melamine-H3332-Chene Nebraska gris-ST10 19 mm</v>
      </c>
      <c r="N99" s="8">
        <v>1</v>
      </c>
      <c r="O99" s="8">
        <v>1</v>
      </c>
      <c r="P99" s="8">
        <v>0</v>
      </c>
      <c r="Q99" s="8" t="s">
        <v>61</v>
      </c>
      <c r="R99" s="8" t="s">
        <v>62</v>
      </c>
      <c r="AB99" t="s">
        <v>441</v>
      </c>
      <c r="AD99" t="s">
        <v>442</v>
      </c>
      <c r="AE99" s="8">
        <v>1</v>
      </c>
      <c r="AF99" s="8">
        <v>0</v>
      </c>
      <c r="AG99" s="8" t="s">
        <v>65</v>
      </c>
      <c r="AH99" s="8">
        <v>1</v>
      </c>
      <c r="AI99" s="8">
        <v>1</v>
      </c>
      <c r="AJ99" s="8">
        <v>1</v>
      </c>
      <c r="AK99" s="8">
        <v>1</v>
      </c>
      <c r="AR99" s="8">
        <v>2790</v>
      </c>
      <c r="AS99" s="8">
        <v>2070</v>
      </c>
      <c r="AT99">
        <v>7787268</v>
      </c>
      <c r="AU99" s="8" t="s">
        <v>66</v>
      </c>
      <c r="AW99" s="8">
        <v>0</v>
      </c>
    </row>
    <row r="100" spans="1:49" x14ac:dyDescent="0.25">
      <c r="A100" t="s">
        <v>443</v>
      </c>
      <c r="B100">
        <v>7786459</v>
      </c>
      <c r="C100" t="s">
        <v>58</v>
      </c>
      <c r="D100">
        <v>19</v>
      </c>
      <c r="E100">
        <v>1</v>
      </c>
      <c r="F100">
        <v>15.79</v>
      </c>
      <c r="G100">
        <v>750</v>
      </c>
      <c r="J100" t="s">
        <v>444</v>
      </c>
      <c r="K100" s="8">
        <v>1</v>
      </c>
      <c r="L100" s="8">
        <v>1</v>
      </c>
      <c r="M100" t="str">
        <f t="shared" si="1"/>
        <v>Melamine-H3349-Chene Kaisersberg-ST19 19 mm</v>
      </c>
      <c r="N100" s="8">
        <v>1</v>
      </c>
      <c r="O100" s="8">
        <v>1</v>
      </c>
      <c r="P100" s="8">
        <v>0</v>
      </c>
      <c r="Q100" s="8" t="s">
        <v>61</v>
      </c>
      <c r="R100" s="8" t="s">
        <v>62</v>
      </c>
      <c r="AB100" t="s">
        <v>445</v>
      </c>
      <c r="AD100" t="s">
        <v>446</v>
      </c>
      <c r="AE100" s="8">
        <v>1</v>
      </c>
      <c r="AF100" s="8">
        <v>0</v>
      </c>
      <c r="AG100" s="8" t="s">
        <v>65</v>
      </c>
      <c r="AH100" s="8">
        <v>1</v>
      </c>
      <c r="AI100" s="8">
        <v>1</v>
      </c>
      <c r="AJ100" s="8">
        <v>1</v>
      </c>
      <c r="AK100" s="8">
        <v>1</v>
      </c>
      <c r="AR100" s="8">
        <v>2790</v>
      </c>
      <c r="AS100" s="8">
        <v>2070</v>
      </c>
      <c r="AT100">
        <v>7786459</v>
      </c>
      <c r="AU100" s="8" t="s">
        <v>66</v>
      </c>
      <c r="AW100" s="8">
        <v>0</v>
      </c>
    </row>
    <row r="101" spans="1:49" x14ac:dyDescent="0.25">
      <c r="A101" t="s">
        <v>447</v>
      </c>
      <c r="B101">
        <v>4766341</v>
      </c>
      <c r="C101" t="s">
        <v>58</v>
      </c>
      <c r="D101">
        <v>19</v>
      </c>
      <c r="E101">
        <v>1</v>
      </c>
      <c r="F101">
        <v>21.87</v>
      </c>
      <c r="G101">
        <v>750</v>
      </c>
      <c r="J101" t="s">
        <v>448</v>
      </c>
      <c r="K101" s="8">
        <v>1</v>
      </c>
      <c r="L101" s="8">
        <v>1</v>
      </c>
      <c r="M101" t="str">
        <f t="shared" si="1"/>
        <v>Melamine-H3359-Chene Davenport naturel clair-ST32 19 mm</v>
      </c>
      <c r="N101" s="8">
        <v>1</v>
      </c>
      <c r="O101" s="8">
        <v>1</v>
      </c>
      <c r="P101" s="8">
        <v>0</v>
      </c>
      <c r="Q101" s="8" t="s">
        <v>61</v>
      </c>
      <c r="R101" s="8" t="s">
        <v>62</v>
      </c>
      <c r="AB101" t="s">
        <v>449</v>
      </c>
      <c r="AD101" t="s">
        <v>450</v>
      </c>
      <c r="AE101" s="8">
        <v>1</v>
      </c>
      <c r="AF101" s="8">
        <v>0</v>
      </c>
      <c r="AG101" s="8" t="s">
        <v>65</v>
      </c>
      <c r="AH101" s="8">
        <v>1</v>
      </c>
      <c r="AI101" s="8">
        <v>1</v>
      </c>
      <c r="AJ101" s="8">
        <v>1</v>
      </c>
      <c r="AK101" s="8">
        <v>1</v>
      </c>
      <c r="AR101" s="8">
        <v>2790</v>
      </c>
      <c r="AS101" s="8">
        <v>2070</v>
      </c>
      <c r="AT101">
        <v>4766341</v>
      </c>
      <c r="AU101" s="8" t="s">
        <v>66</v>
      </c>
      <c r="AW101" s="8">
        <v>0</v>
      </c>
    </row>
    <row r="102" spans="1:49" x14ac:dyDescent="0.25">
      <c r="A102" t="s">
        <v>451</v>
      </c>
      <c r="B102">
        <v>4062335</v>
      </c>
      <c r="C102" t="s">
        <v>58</v>
      </c>
      <c r="D102">
        <v>19</v>
      </c>
      <c r="E102">
        <v>1</v>
      </c>
      <c r="F102">
        <v>11.06</v>
      </c>
      <c r="G102">
        <v>750</v>
      </c>
      <c r="J102" t="s">
        <v>452</v>
      </c>
      <c r="K102" s="8">
        <v>1</v>
      </c>
      <c r="L102" s="8">
        <v>1</v>
      </c>
      <c r="M102" t="str">
        <f t="shared" si="1"/>
        <v>Melamine-H3368-Chene de Lancaster naturel-ST9 19 mm</v>
      </c>
      <c r="N102" s="8">
        <v>1</v>
      </c>
      <c r="O102" s="8">
        <v>1</v>
      </c>
      <c r="P102" s="8">
        <v>0</v>
      </c>
      <c r="Q102" s="8" t="s">
        <v>61</v>
      </c>
      <c r="R102" s="8" t="s">
        <v>62</v>
      </c>
      <c r="AB102" t="s">
        <v>453</v>
      </c>
      <c r="AD102" t="s">
        <v>454</v>
      </c>
      <c r="AE102" s="8">
        <v>1</v>
      </c>
      <c r="AF102" s="8">
        <v>0</v>
      </c>
      <c r="AG102" s="8" t="s">
        <v>65</v>
      </c>
      <c r="AH102" s="8">
        <v>1</v>
      </c>
      <c r="AI102" s="8">
        <v>1</v>
      </c>
      <c r="AJ102" s="8">
        <v>1</v>
      </c>
      <c r="AK102" s="8">
        <v>1</v>
      </c>
      <c r="AR102" s="8">
        <v>2790</v>
      </c>
      <c r="AS102" s="8">
        <v>2070</v>
      </c>
      <c r="AT102">
        <v>7787272</v>
      </c>
      <c r="AU102" s="8" t="s">
        <v>66</v>
      </c>
      <c r="AW102" s="8">
        <v>0</v>
      </c>
    </row>
    <row r="103" spans="1:49" x14ac:dyDescent="0.25">
      <c r="A103" t="s">
        <v>455</v>
      </c>
      <c r="B103">
        <v>7786460</v>
      </c>
      <c r="C103" t="s">
        <v>58</v>
      </c>
      <c r="D103">
        <v>19</v>
      </c>
      <c r="E103">
        <v>1</v>
      </c>
      <c r="F103">
        <v>9.02</v>
      </c>
      <c r="G103">
        <v>750</v>
      </c>
      <c r="J103" t="s">
        <v>456</v>
      </c>
      <c r="K103" s="8">
        <v>1</v>
      </c>
      <c r="L103" s="8">
        <v>1</v>
      </c>
      <c r="M103" t="str">
        <f t="shared" si="1"/>
        <v>Melamine-H3395-Chene Corbridge naturel-ST12 19 mm</v>
      </c>
      <c r="N103" s="8">
        <v>1</v>
      </c>
      <c r="O103" s="8">
        <v>1</v>
      </c>
      <c r="P103" s="8">
        <v>0</v>
      </c>
      <c r="Q103" s="8" t="s">
        <v>61</v>
      </c>
      <c r="R103" s="8" t="s">
        <v>62</v>
      </c>
      <c r="AB103" t="s">
        <v>457</v>
      </c>
      <c r="AD103" t="s">
        <v>458</v>
      </c>
      <c r="AE103" s="8">
        <v>1</v>
      </c>
      <c r="AF103" s="8">
        <v>0</v>
      </c>
      <c r="AG103" s="8" t="s">
        <v>65</v>
      </c>
      <c r="AH103" s="8">
        <v>1</v>
      </c>
      <c r="AI103" s="8">
        <v>1</v>
      </c>
      <c r="AJ103" s="8">
        <v>1</v>
      </c>
      <c r="AK103" s="8">
        <v>1</v>
      </c>
      <c r="AR103" s="8">
        <v>2790</v>
      </c>
      <c r="AS103" s="8">
        <v>2070</v>
      </c>
      <c r="AT103">
        <v>7787273</v>
      </c>
      <c r="AU103" s="8" t="s">
        <v>66</v>
      </c>
      <c r="AW103" s="8">
        <v>0</v>
      </c>
    </row>
    <row r="104" spans="1:49" x14ac:dyDescent="0.25">
      <c r="A104" t="s">
        <v>459</v>
      </c>
      <c r="B104">
        <v>7786461</v>
      </c>
      <c r="C104" t="s">
        <v>58</v>
      </c>
      <c r="D104">
        <v>19</v>
      </c>
      <c r="E104">
        <v>1</v>
      </c>
      <c r="F104">
        <v>14.23</v>
      </c>
      <c r="G104">
        <v>750</v>
      </c>
      <c r="J104" t="s">
        <v>460</v>
      </c>
      <c r="K104" s="8">
        <v>1</v>
      </c>
      <c r="L104" s="8">
        <v>1</v>
      </c>
      <c r="M104" t="str">
        <f t="shared" si="1"/>
        <v>Melamine-H3398-Chene Kendal cognac-ST12 19 mm</v>
      </c>
      <c r="N104" s="8">
        <v>1</v>
      </c>
      <c r="O104" s="8">
        <v>1</v>
      </c>
      <c r="P104" s="8">
        <v>0</v>
      </c>
      <c r="Q104" s="8" t="s">
        <v>61</v>
      </c>
      <c r="R104" s="8" t="s">
        <v>62</v>
      </c>
      <c r="AB104" t="s">
        <v>461</v>
      </c>
      <c r="AD104" t="s">
        <v>462</v>
      </c>
      <c r="AE104" s="8">
        <v>1</v>
      </c>
      <c r="AF104" s="8">
        <v>0</v>
      </c>
      <c r="AG104" s="8" t="s">
        <v>65</v>
      </c>
      <c r="AH104" s="8">
        <v>1</v>
      </c>
      <c r="AI104" s="8">
        <v>1</v>
      </c>
      <c r="AJ104" s="8">
        <v>1</v>
      </c>
      <c r="AK104" s="8">
        <v>1</v>
      </c>
      <c r="AR104" s="8">
        <v>2790</v>
      </c>
      <c r="AS104" s="8">
        <v>2070</v>
      </c>
      <c r="AT104">
        <v>7786461</v>
      </c>
      <c r="AU104" s="8" t="s">
        <v>66</v>
      </c>
      <c r="AW104" s="8">
        <v>0</v>
      </c>
    </row>
    <row r="105" spans="1:49" x14ac:dyDescent="0.25">
      <c r="A105" t="s">
        <v>463</v>
      </c>
      <c r="B105">
        <v>7786464</v>
      </c>
      <c r="C105" t="s">
        <v>58</v>
      </c>
      <c r="D105">
        <v>19</v>
      </c>
      <c r="E105">
        <v>1</v>
      </c>
      <c r="F105">
        <v>16.440000000000001</v>
      </c>
      <c r="G105">
        <v>750</v>
      </c>
      <c r="J105" t="s">
        <v>464</v>
      </c>
      <c r="K105" s="8">
        <v>1</v>
      </c>
      <c r="L105" s="8">
        <v>1</v>
      </c>
      <c r="M105" t="str">
        <f t="shared" si="1"/>
        <v>Melamine-H3406-Meleze anthracite-ST38 19 mm</v>
      </c>
      <c r="N105" s="8">
        <v>1</v>
      </c>
      <c r="O105" s="8">
        <v>1</v>
      </c>
      <c r="P105" s="8">
        <v>0</v>
      </c>
      <c r="Q105" s="8" t="s">
        <v>61</v>
      </c>
      <c r="R105" s="8" t="s">
        <v>62</v>
      </c>
      <c r="AB105" t="s">
        <v>465</v>
      </c>
      <c r="AD105" t="s">
        <v>466</v>
      </c>
      <c r="AE105" s="8">
        <v>1</v>
      </c>
      <c r="AF105" s="8">
        <v>0</v>
      </c>
      <c r="AG105" s="8" t="s">
        <v>65</v>
      </c>
      <c r="AH105" s="8">
        <v>1</v>
      </c>
      <c r="AI105" s="8">
        <v>1</v>
      </c>
      <c r="AJ105" s="8">
        <v>1</v>
      </c>
      <c r="AK105" s="8">
        <v>1</v>
      </c>
      <c r="AR105" s="8">
        <v>2790</v>
      </c>
      <c r="AS105" s="8">
        <v>2070</v>
      </c>
      <c r="AT105">
        <v>7787277</v>
      </c>
      <c r="AU105" s="8" t="s">
        <v>66</v>
      </c>
      <c r="AW105" s="8">
        <v>0</v>
      </c>
    </row>
    <row r="106" spans="1:49" x14ac:dyDescent="0.25">
      <c r="A106" t="s">
        <v>467</v>
      </c>
      <c r="B106">
        <v>7786465</v>
      </c>
      <c r="C106" t="s">
        <v>58</v>
      </c>
      <c r="D106">
        <v>19</v>
      </c>
      <c r="E106">
        <v>1</v>
      </c>
      <c r="F106">
        <v>16.440000000000001</v>
      </c>
      <c r="G106">
        <v>750</v>
      </c>
      <c r="J106" t="s">
        <v>468</v>
      </c>
      <c r="K106" s="8">
        <v>1</v>
      </c>
      <c r="L106" s="8">
        <v>1</v>
      </c>
      <c r="M106" t="str">
        <f t="shared" si="1"/>
        <v>Melamine-H3408-Meleze brun thermo-ST38 19 mm</v>
      </c>
      <c r="N106" s="8">
        <v>1</v>
      </c>
      <c r="O106" s="8">
        <v>1</v>
      </c>
      <c r="P106" s="8">
        <v>0</v>
      </c>
      <c r="Q106" s="8" t="s">
        <v>61</v>
      </c>
      <c r="R106" s="8" t="s">
        <v>62</v>
      </c>
      <c r="AB106" t="s">
        <v>469</v>
      </c>
      <c r="AD106" t="s">
        <v>470</v>
      </c>
      <c r="AE106" s="8">
        <v>1</v>
      </c>
      <c r="AF106" s="8">
        <v>0</v>
      </c>
      <c r="AG106" s="8" t="s">
        <v>65</v>
      </c>
      <c r="AH106" s="8">
        <v>1</v>
      </c>
      <c r="AI106" s="8">
        <v>1</v>
      </c>
      <c r="AJ106" s="8">
        <v>1</v>
      </c>
      <c r="AK106" s="8">
        <v>1</v>
      </c>
      <c r="AR106" s="8">
        <v>2790</v>
      </c>
      <c r="AS106" s="8">
        <v>2070</v>
      </c>
      <c r="AT106">
        <v>7787278</v>
      </c>
      <c r="AU106" s="8" t="s">
        <v>66</v>
      </c>
      <c r="AW106" s="8">
        <v>0</v>
      </c>
    </row>
    <row r="107" spans="1:49" x14ac:dyDescent="0.25">
      <c r="A107" t="s">
        <v>471</v>
      </c>
      <c r="B107">
        <v>4766344</v>
      </c>
      <c r="C107" t="s">
        <v>58</v>
      </c>
      <c r="D107">
        <v>19</v>
      </c>
      <c r="E107">
        <v>1</v>
      </c>
      <c r="F107">
        <v>16.440000000000001</v>
      </c>
      <c r="G107">
        <v>750</v>
      </c>
      <c r="J107" t="s">
        <v>472</v>
      </c>
      <c r="K107" s="8">
        <v>1</v>
      </c>
      <c r="L107" s="8">
        <v>1</v>
      </c>
      <c r="M107" t="str">
        <f t="shared" si="1"/>
        <v>Melamine-H3409-Meleze naturel-ST38 19 mm</v>
      </c>
      <c r="N107" s="8">
        <v>1</v>
      </c>
      <c r="O107" s="8">
        <v>1</v>
      </c>
      <c r="P107" s="8">
        <v>0</v>
      </c>
      <c r="Q107" s="8" t="s">
        <v>61</v>
      </c>
      <c r="R107" s="8" t="s">
        <v>62</v>
      </c>
      <c r="AB107" t="s">
        <v>473</v>
      </c>
      <c r="AD107" t="s">
        <v>474</v>
      </c>
      <c r="AE107" s="8">
        <v>1</v>
      </c>
      <c r="AF107" s="8">
        <v>0</v>
      </c>
      <c r="AG107" s="8" t="s">
        <v>65</v>
      </c>
      <c r="AH107" s="8">
        <v>1</v>
      </c>
      <c r="AI107" s="8">
        <v>1</v>
      </c>
      <c r="AJ107" s="8">
        <v>1</v>
      </c>
      <c r="AK107" s="8">
        <v>1</v>
      </c>
      <c r="AR107" s="8">
        <v>2790</v>
      </c>
      <c r="AS107" s="8">
        <v>2070</v>
      </c>
      <c r="AT107">
        <v>4766343</v>
      </c>
      <c r="AU107" s="8" t="s">
        <v>66</v>
      </c>
      <c r="AW107" s="8">
        <v>0</v>
      </c>
    </row>
    <row r="108" spans="1:49" x14ac:dyDescent="0.25">
      <c r="A108" t="s">
        <v>475</v>
      </c>
      <c r="B108">
        <v>7786466</v>
      </c>
      <c r="C108" t="s">
        <v>58</v>
      </c>
      <c r="D108">
        <v>19</v>
      </c>
      <c r="E108">
        <v>1</v>
      </c>
      <c r="F108">
        <v>11.06</v>
      </c>
      <c r="G108">
        <v>750</v>
      </c>
      <c r="J108" t="s">
        <v>476</v>
      </c>
      <c r="K108" s="8">
        <v>1</v>
      </c>
      <c r="L108" s="8">
        <v>1</v>
      </c>
      <c r="M108" t="str">
        <f t="shared" si="1"/>
        <v>Melamine-H3430-Pin Aland blanc-ST22 19 mm</v>
      </c>
      <c r="N108" s="8">
        <v>1</v>
      </c>
      <c r="O108" s="8">
        <v>1</v>
      </c>
      <c r="P108" s="8">
        <v>0</v>
      </c>
      <c r="Q108" s="8" t="s">
        <v>61</v>
      </c>
      <c r="R108" s="8" t="s">
        <v>62</v>
      </c>
      <c r="AB108" t="s">
        <v>477</v>
      </c>
      <c r="AD108" t="s">
        <v>478</v>
      </c>
      <c r="AE108" s="8">
        <v>1</v>
      </c>
      <c r="AF108" s="8">
        <v>0</v>
      </c>
      <c r="AG108" s="8" t="s">
        <v>65</v>
      </c>
      <c r="AH108" s="8">
        <v>1</v>
      </c>
      <c r="AI108" s="8">
        <v>1</v>
      </c>
      <c r="AJ108" s="8">
        <v>1</v>
      </c>
      <c r="AK108" s="8">
        <v>1</v>
      </c>
      <c r="AR108" s="8">
        <v>2790</v>
      </c>
      <c r="AS108" s="8">
        <v>2070</v>
      </c>
      <c r="AT108">
        <v>7787279</v>
      </c>
      <c r="AU108" s="8" t="s">
        <v>66</v>
      </c>
      <c r="AW108" s="8">
        <v>0</v>
      </c>
    </row>
    <row r="109" spans="1:49" x14ac:dyDescent="0.25">
      <c r="A109" t="s">
        <v>479</v>
      </c>
      <c r="B109">
        <v>7786467</v>
      </c>
      <c r="C109" t="s">
        <v>58</v>
      </c>
      <c r="D109">
        <v>19</v>
      </c>
      <c r="E109">
        <v>1</v>
      </c>
      <c r="F109">
        <v>14.23</v>
      </c>
      <c r="G109">
        <v>750</v>
      </c>
      <c r="J109" t="s">
        <v>480</v>
      </c>
      <c r="K109" s="8">
        <v>1</v>
      </c>
      <c r="L109" s="8">
        <v>1</v>
      </c>
      <c r="M109" t="str">
        <f t="shared" si="1"/>
        <v>Melamine-H3433-Pin Aland polaire-ST22 19 mm</v>
      </c>
      <c r="N109" s="8">
        <v>1</v>
      </c>
      <c r="O109" s="8">
        <v>1</v>
      </c>
      <c r="P109" s="8">
        <v>0</v>
      </c>
      <c r="Q109" s="8" t="s">
        <v>61</v>
      </c>
      <c r="R109" s="8" t="s">
        <v>62</v>
      </c>
      <c r="AB109" t="s">
        <v>481</v>
      </c>
      <c r="AD109" t="s">
        <v>482</v>
      </c>
      <c r="AE109" s="8">
        <v>1</v>
      </c>
      <c r="AF109" s="8">
        <v>0</v>
      </c>
      <c r="AG109" s="8" t="s">
        <v>65</v>
      </c>
      <c r="AH109" s="8">
        <v>1</v>
      </c>
      <c r="AI109" s="8">
        <v>1</v>
      </c>
      <c r="AJ109" s="8">
        <v>1</v>
      </c>
      <c r="AK109" s="8">
        <v>1</v>
      </c>
      <c r="AR109" s="8">
        <v>2790</v>
      </c>
      <c r="AS109" s="8">
        <v>2070</v>
      </c>
      <c r="AT109">
        <v>7786467</v>
      </c>
      <c r="AU109" s="8" t="s">
        <v>66</v>
      </c>
      <c r="AW109" s="8">
        <v>0</v>
      </c>
    </row>
    <row r="110" spans="1:49" x14ac:dyDescent="0.25">
      <c r="A110" t="s">
        <v>483</v>
      </c>
      <c r="B110">
        <v>7786468</v>
      </c>
      <c r="C110" t="s">
        <v>58</v>
      </c>
      <c r="D110">
        <v>19</v>
      </c>
      <c r="E110">
        <v>1</v>
      </c>
      <c r="F110">
        <v>11.06</v>
      </c>
      <c r="G110">
        <v>750</v>
      </c>
      <c r="J110" t="s">
        <v>484</v>
      </c>
      <c r="K110" s="8">
        <v>1</v>
      </c>
      <c r="L110" s="8">
        <v>1</v>
      </c>
      <c r="M110" t="str">
        <f t="shared" si="1"/>
        <v>Melamine-H3450-Fleetwood blanc-ST22 19 mm</v>
      </c>
      <c r="N110" s="8">
        <v>1</v>
      </c>
      <c r="O110" s="8">
        <v>1</v>
      </c>
      <c r="P110" s="8">
        <v>0</v>
      </c>
      <c r="Q110" s="8" t="s">
        <v>61</v>
      </c>
      <c r="R110" s="8" t="s">
        <v>62</v>
      </c>
      <c r="AB110" t="s">
        <v>485</v>
      </c>
      <c r="AD110" t="s">
        <v>486</v>
      </c>
      <c r="AE110" s="8">
        <v>1</v>
      </c>
      <c r="AF110" s="8">
        <v>0</v>
      </c>
      <c r="AG110" s="8" t="s">
        <v>65</v>
      </c>
      <c r="AH110" s="8">
        <v>1</v>
      </c>
      <c r="AI110" s="8">
        <v>1</v>
      </c>
      <c r="AJ110" s="8">
        <v>1</v>
      </c>
      <c r="AK110" s="8">
        <v>1</v>
      </c>
      <c r="AR110" s="8">
        <v>2790</v>
      </c>
      <c r="AS110" s="8">
        <v>2070</v>
      </c>
      <c r="AT110">
        <v>7787281</v>
      </c>
      <c r="AU110" s="8" t="s">
        <v>66</v>
      </c>
      <c r="AW110" s="8">
        <v>0</v>
      </c>
    </row>
    <row r="111" spans="1:49" x14ac:dyDescent="0.25">
      <c r="A111" t="s">
        <v>487</v>
      </c>
      <c r="B111">
        <v>7786472</v>
      </c>
      <c r="C111" t="s">
        <v>58</v>
      </c>
      <c r="D111">
        <v>19</v>
      </c>
      <c r="E111">
        <v>1</v>
      </c>
      <c r="F111">
        <v>15.12</v>
      </c>
      <c r="G111">
        <v>750</v>
      </c>
      <c r="J111" t="s">
        <v>488</v>
      </c>
      <c r="K111" s="8">
        <v>1</v>
      </c>
      <c r="L111" s="8">
        <v>1</v>
      </c>
      <c r="M111" t="str">
        <f t="shared" si="1"/>
        <v>Melamine-H3700-Noyer du Pacifique naturel-ST10 19 mm</v>
      </c>
      <c r="N111" s="8">
        <v>1</v>
      </c>
      <c r="O111" s="8">
        <v>1</v>
      </c>
      <c r="P111" s="8">
        <v>0</v>
      </c>
      <c r="Q111" s="8" t="s">
        <v>61</v>
      </c>
      <c r="R111" s="8" t="s">
        <v>62</v>
      </c>
      <c r="AB111" t="s">
        <v>489</v>
      </c>
      <c r="AD111" t="s">
        <v>490</v>
      </c>
      <c r="AE111" s="8">
        <v>1</v>
      </c>
      <c r="AF111" s="8">
        <v>0</v>
      </c>
      <c r="AG111" s="8" t="s">
        <v>65</v>
      </c>
      <c r="AH111" s="8">
        <v>1</v>
      </c>
      <c r="AI111" s="8">
        <v>1</v>
      </c>
      <c r="AJ111" s="8">
        <v>1</v>
      </c>
      <c r="AK111" s="8">
        <v>1</v>
      </c>
      <c r="AR111" s="8">
        <v>2790</v>
      </c>
      <c r="AS111" s="8">
        <v>2070</v>
      </c>
      <c r="AT111">
        <v>7786472</v>
      </c>
      <c r="AU111" s="8" t="s">
        <v>66</v>
      </c>
      <c r="AW111" s="8">
        <v>0</v>
      </c>
    </row>
    <row r="112" spans="1:49" x14ac:dyDescent="0.25">
      <c r="A112" t="s">
        <v>491</v>
      </c>
      <c r="B112">
        <v>7786473</v>
      </c>
      <c r="C112" t="s">
        <v>58</v>
      </c>
      <c r="D112">
        <v>19</v>
      </c>
      <c r="E112">
        <v>1</v>
      </c>
      <c r="F112">
        <v>15.12</v>
      </c>
      <c r="G112">
        <v>750</v>
      </c>
      <c r="J112" t="s">
        <v>492</v>
      </c>
      <c r="K112" s="8">
        <v>1</v>
      </c>
      <c r="L112" s="8">
        <v>1</v>
      </c>
      <c r="M112" t="str">
        <f t="shared" si="1"/>
        <v>Melamine-H3702-Noyer du Pacifique tabac-ST10 19 mm</v>
      </c>
      <c r="N112" s="8">
        <v>1</v>
      </c>
      <c r="O112" s="8">
        <v>1</v>
      </c>
      <c r="P112" s="8">
        <v>0</v>
      </c>
      <c r="Q112" s="8" t="s">
        <v>61</v>
      </c>
      <c r="R112" s="8" t="s">
        <v>62</v>
      </c>
      <c r="AB112" t="s">
        <v>493</v>
      </c>
      <c r="AD112" t="s">
        <v>494</v>
      </c>
      <c r="AE112" s="8">
        <v>1</v>
      </c>
      <c r="AF112" s="8">
        <v>0</v>
      </c>
      <c r="AG112" s="8" t="s">
        <v>65</v>
      </c>
      <c r="AH112" s="8">
        <v>1</v>
      </c>
      <c r="AI112" s="8">
        <v>1</v>
      </c>
      <c r="AJ112" s="8">
        <v>1</v>
      </c>
      <c r="AK112" s="8">
        <v>1</v>
      </c>
      <c r="AR112" s="8">
        <v>2790</v>
      </c>
      <c r="AS112" s="8">
        <v>2070</v>
      </c>
      <c r="AT112">
        <v>7786473</v>
      </c>
      <c r="AU112" s="8" t="s">
        <v>66</v>
      </c>
      <c r="AW112" s="8">
        <v>0</v>
      </c>
    </row>
    <row r="113" spans="1:49" x14ac:dyDescent="0.25">
      <c r="A113" t="s">
        <v>495</v>
      </c>
      <c r="B113">
        <v>7786474</v>
      </c>
      <c r="C113" t="s">
        <v>58</v>
      </c>
      <c r="D113">
        <v>19</v>
      </c>
      <c r="E113">
        <v>1</v>
      </c>
      <c r="F113">
        <v>15.79</v>
      </c>
      <c r="G113">
        <v>750</v>
      </c>
      <c r="J113" t="s">
        <v>496</v>
      </c>
      <c r="K113" s="8">
        <v>1</v>
      </c>
      <c r="L113" s="8">
        <v>1</v>
      </c>
      <c r="M113" t="str">
        <f t="shared" si="1"/>
        <v>Melamine-H3710-Noyer Carini naturel-ST12 19 mm</v>
      </c>
      <c r="N113" s="8">
        <v>1</v>
      </c>
      <c r="O113" s="8">
        <v>1</v>
      </c>
      <c r="P113" s="8">
        <v>0</v>
      </c>
      <c r="Q113" s="8" t="s">
        <v>61</v>
      </c>
      <c r="R113" s="8" t="s">
        <v>62</v>
      </c>
      <c r="AB113" t="s">
        <v>497</v>
      </c>
      <c r="AD113" t="s">
        <v>498</v>
      </c>
      <c r="AE113" s="8">
        <v>1</v>
      </c>
      <c r="AF113" s="8">
        <v>0</v>
      </c>
      <c r="AG113" s="8" t="s">
        <v>65</v>
      </c>
      <c r="AH113" s="8">
        <v>1</v>
      </c>
      <c r="AI113" s="8">
        <v>1</v>
      </c>
      <c r="AJ113" s="8">
        <v>1</v>
      </c>
      <c r="AK113" s="8">
        <v>1</v>
      </c>
      <c r="AR113" s="8">
        <v>2790</v>
      </c>
      <c r="AS113" s="8">
        <v>2070</v>
      </c>
      <c r="AT113">
        <v>7786474</v>
      </c>
      <c r="AU113" s="8" t="s">
        <v>66</v>
      </c>
      <c r="AW113" s="8">
        <v>0</v>
      </c>
    </row>
    <row r="114" spans="1:49" x14ac:dyDescent="0.25">
      <c r="A114" t="s">
        <v>499</v>
      </c>
      <c r="B114">
        <v>7786475</v>
      </c>
      <c r="C114" t="s">
        <v>58</v>
      </c>
      <c r="D114">
        <v>19</v>
      </c>
      <c r="E114">
        <v>1</v>
      </c>
      <c r="F114">
        <v>11.83</v>
      </c>
      <c r="G114">
        <v>750</v>
      </c>
      <c r="J114" t="s">
        <v>500</v>
      </c>
      <c r="K114" s="8">
        <v>1</v>
      </c>
      <c r="L114" s="8">
        <v>1</v>
      </c>
      <c r="M114" t="str">
        <f t="shared" si="1"/>
        <v>Melamine-H3730-Hickory naturel-ST10 19 mm</v>
      </c>
      <c r="N114" s="8">
        <v>1</v>
      </c>
      <c r="O114" s="8">
        <v>1</v>
      </c>
      <c r="P114" s="8">
        <v>0</v>
      </c>
      <c r="Q114" s="8" t="s">
        <v>61</v>
      </c>
      <c r="R114" s="8" t="s">
        <v>62</v>
      </c>
      <c r="AB114" t="s">
        <v>501</v>
      </c>
      <c r="AD114" t="s">
        <v>502</v>
      </c>
      <c r="AE114" s="8">
        <v>1</v>
      </c>
      <c r="AF114" s="8">
        <v>0</v>
      </c>
      <c r="AG114" s="8" t="s">
        <v>65</v>
      </c>
      <c r="AH114" s="8">
        <v>1</v>
      </c>
      <c r="AI114" s="8">
        <v>1</v>
      </c>
      <c r="AJ114" s="8">
        <v>1</v>
      </c>
      <c r="AK114" s="8">
        <v>1</v>
      </c>
      <c r="AR114" s="8">
        <v>2790</v>
      </c>
      <c r="AS114" s="8">
        <v>2070</v>
      </c>
      <c r="AT114">
        <v>7787288</v>
      </c>
      <c r="AU114" s="8" t="s">
        <v>66</v>
      </c>
      <c r="AW114" s="8">
        <v>0</v>
      </c>
    </row>
    <row r="115" spans="1:49" x14ac:dyDescent="0.25">
      <c r="A115" t="s">
        <v>503</v>
      </c>
      <c r="B115">
        <v>4062336</v>
      </c>
      <c r="C115" t="s">
        <v>58</v>
      </c>
      <c r="D115">
        <v>19</v>
      </c>
      <c r="E115">
        <v>1</v>
      </c>
      <c r="F115">
        <v>9.02</v>
      </c>
      <c r="G115">
        <v>750</v>
      </c>
      <c r="J115" t="s">
        <v>504</v>
      </c>
      <c r="K115" s="8">
        <v>1</v>
      </c>
      <c r="L115" s="8">
        <v>1</v>
      </c>
      <c r="M115" t="str">
        <f t="shared" si="1"/>
        <v>Melamine-H3734-Noyer de Bourgogne naturel-ST9 19 mm</v>
      </c>
      <c r="N115" s="8">
        <v>1</v>
      </c>
      <c r="O115" s="8">
        <v>1</v>
      </c>
      <c r="P115" s="8">
        <v>0</v>
      </c>
      <c r="Q115" s="8" t="s">
        <v>61</v>
      </c>
      <c r="R115" s="8" t="s">
        <v>62</v>
      </c>
      <c r="AB115" t="s">
        <v>505</v>
      </c>
      <c r="AD115" t="s">
        <v>506</v>
      </c>
      <c r="AE115" s="8">
        <v>1</v>
      </c>
      <c r="AF115" s="8">
        <v>0</v>
      </c>
      <c r="AG115" s="8" t="s">
        <v>65</v>
      </c>
      <c r="AH115" s="8">
        <v>1</v>
      </c>
      <c r="AI115" s="8">
        <v>1</v>
      </c>
      <c r="AJ115" s="8">
        <v>1</v>
      </c>
      <c r="AK115" s="8">
        <v>1</v>
      </c>
      <c r="AR115" s="8">
        <v>2790</v>
      </c>
      <c r="AS115" s="8">
        <v>2070</v>
      </c>
      <c r="AT115">
        <v>7787289</v>
      </c>
      <c r="AU115" s="8" t="s">
        <v>66</v>
      </c>
      <c r="AW115" s="8">
        <v>0</v>
      </c>
    </row>
    <row r="116" spans="1:49" x14ac:dyDescent="0.25">
      <c r="A116" t="s">
        <v>507</v>
      </c>
      <c r="B116">
        <v>4062337</v>
      </c>
      <c r="C116" t="s">
        <v>58</v>
      </c>
      <c r="D116">
        <v>19</v>
      </c>
      <c r="E116">
        <v>1</v>
      </c>
      <c r="F116">
        <v>9.02</v>
      </c>
      <c r="G116">
        <v>750</v>
      </c>
      <c r="J116" t="s">
        <v>508</v>
      </c>
      <c r="K116" s="8">
        <v>1</v>
      </c>
      <c r="L116" s="8">
        <v>1</v>
      </c>
      <c r="M116" t="str">
        <f t="shared" si="1"/>
        <v>Melamine-H3840-Erable Mandal naturel-ST9 19 mm</v>
      </c>
      <c r="N116" s="8">
        <v>1</v>
      </c>
      <c r="O116" s="8">
        <v>1</v>
      </c>
      <c r="P116" s="8">
        <v>0</v>
      </c>
      <c r="Q116" s="8" t="s">
        <v>61</v>
      </c>
      <c r="R116" s="8" t="s">
        <v>62</v>
      </c>
      <c r="AB116" t="s">
        <v>509</v>
      </c>
      <c r="AD116" t="s">
        <v>510</v>
      </c>
      <c r="AE116" s="8">
        <v>1</v>
      </c>
      <c r="AF116" s="8">
        <v>0</v>
      </c>
      <c r="AG116" s="8" t="s">
        <v>65</v>
      </c>
      <c r="AH116" s="8">
        <v>1</v>
      </c>
      <c r="AI116" s="8">
        <v>1</v>
      </c>
      <c r="AJ116" s="8">
        <v>1</v>
      </c>
      <c r="AK116" s="8">
        <v>1</v>
      </c>
      <c r="AR116" s="8">
        <v>2790</v>
      </c>
      <c r="AS116" s="8">
        <v>2070</v>
      </c>
      <c r="AT116">
        <v>7787290</v>
      </c>
      <c r="AU116" s="8" t="s">
        <v>66</v>
      </c>
      <c r="AW116" s="8">
        <v>0</v>
      </c>
    </row>
    <row r="117" spans="1:49" x14ac:dyDescent="0.25">
      <c r="A117" t="s">
        <v>511</v>
      </c>
      <c r="B117">
        <v>4062338</v>
      </c>
      <c r="C117" t="s">
        <v>58</v>
      </c>
      <c r="D117">
        <v>19</v>
      </c>
      <c r="E117">
        <v>1</v>
      </c>
      <c r="F117">
        <v>14.23</v>
      </c>
      <c r="G117">
        <v>750</v>
      </c>
      <c r="J117" t="s">
        <v>512</v>
      </c>
      <c r="K117" s="8">
        <v>1</v>
      </c>
      <c r="L117" s="8">
        <v>1</v>
      </c>
      <c r="M117" t="str">
        <f t="shared" si="1"/>
        <v>Melamine-H3860-Erable americain champagne-ST9 19 mm</v>
      </c>
      <c r="N117" s="8">
        <v>1</v>
      </c>
      <c r="O117" s="8">
        <v>1</v>
      </c>
      <c r="P117" s="8">
        <v>0</v>
      </c>
      <c r="Q117" s="8" t="s">
        <v>61</v>
      </c>
      <c r="R117" s="8" t="s">
        <v>62</v>
      </c>
      <c r="AB117" t="s">
        <v>513</v>
      </c>
      <c r="AD117" t="s">
        <v>514</v>
      </c>
      <c r="AE117" s="8">
        <v>1</v>
      </c>
      <c r="AF117" s="8">
        <v>0</v>
      </c>
      <c r="AG117" s="8" t="s">
        <v>65</v>
      </c>
      <c r="AH117" s="8">
        <v>1</v>
      </c>
      <c r="AI117" s="8">
        <v>1</v>
      </c>
      <c r="AJ117" s="8">
        <v>1</v>
      </c>
      <c r="AK117" s="8">
        <v>1</v>
      </c>
      <c r="AR117" s="8">
        <v>2790</v>
      </c>
      <c r="AS117" s="8">
        <v>2070</v>
      </c>
      <c r="AT117">
        <v>4062338</v>
      </c>
      <c r="AU117" s="8" t="s">
        <v>66</v>
      </c>
      <c r="AW117" s="8">
        <v>0</v>
      </c>
    </row>
    <row r="118" spans="1:49" x14ac:dyDescent="0.25">
      <c r="A118" t="s">
        <v>515</v>
      </c>
      <c r="B118">
        <v>7786476</v>
      </c>
      <c r="C118" t="s">
        <v>58</v>
      </c>
      <c r="D118">
        <v>19</v>
      </c>
      <c r="E118">
        <v>0</v>
      </c>
      <c r="F118">
        <v>7.76</v>
      </c>
      <c r="G118">
        <v>750</v>
      </c>
      <c r="J118" t="s">
        <v>516</v>
      </c>
      <c r="K118" s="8">
        <v>1</v>
      </c>
      <c r="L118" s="8">
        <v>1</v>
      </c>
      <c r="M118" t="str">
        <f t="shared" si="1"/>
        <v>Melamine-U104-Blanc albatre-ST9 19 mm</v>
      </c>
      <c r="N118" s="8">
        <v>0</v>
      </c>
      <c r="O118" s="8">
        <v>1</v>
      </c>
      <c r="P118" s="8">
        <v>0</v>
      </c>
      <c r="Q118" s="8" t="s">
        <v>61</v>
      </c>
      <c r="R118" s="8" t="s">
        <v>62</v>
      </c>
      <c r="AB118" t="s">
        <v>517</v>
      </c>
      <c r="AD118" t="s">
        <v>518</v>
      </c>
      <c r="AE118" s="8">
        <v>1</v>
      </c>
      <c r="AF118" s="8">
        <v>0</v>
      </c>
      <c r="AG118" s="8" t="s">
        <v>65</v>
      </c>
      <c r="AH118" s="8">
        <v>1</v>
      </c>
      <c r="AI118" s="8">
        <v>1</v>
      </c>
      <c r="AJ118" s="8">
        <v>1</v>
      </c>
      <c r="AK118" s="8">
        <v>1</v>
      </c>
      <c r="AR118" s="8">
        <v>2790</v>
      </c>
      <c r="AS118" s="8">
        <v>2070</v>
      </c>
      <c r="AT118">
        <v>7787292</v>
      </c>
      <c r="AU118" s="8" t="s">
        <v>66</v>
      </c>
      <c r="AW118" s="8">
        <v>0</v>
      </c>
    </row>
    <row r="119" spans="1:49" x14ac:dyDescent="0.25">
      <c r="A119" t="s">
        <v>519</v>
      </c>
      <c r="B119">
        <v>7786479</v>
      </c>
      <c r="C119" t="s">
        <v>58</v>
      </c>
      <c r="D119">
        <v>19</v>
      </c>
      <c r="E119">
        <v>0</v>
      </c>
      <c r="F119">
        <v>7.76</v>
      </c>
      <c r="G119">
        <v>750</v>
      </c>
      <c r="J119" t="s">
        <v>520</v>
      </c>
      <c r="K119" s="8">
        <v>1</v>
      </c>
      <c r="L119" s="8">
        <v>1</v>
      </c>
      <c r="M119" t="str">
        <f t="shared" si="1"/>
        <v>Melamine-U113-Beige sable-ST9 19 mm</v>
      </c>
      <c r="N119" s="8">
        <v>0</v>
      </c>
      <c r="O119" s="8">
        <v>1</v>
      </c>
      <c r="P119" s="8">
        <v>0</v>
      </c>
      <c r="Q119" s="8" t="s">
        <v>61</v>
      </c>
      <c r="R119" s="8" t="s">
        <v>62</v>
      </c>
      <c r="AB119" t="s">
        <v>521</v>
      </c>
      <c r="AD119" t="s">
        <v>522</v>
      </c>
      <c r="AE119" s="8">
        <v>1</v>
      </c>
      <c r="AF119" s="8">
        <v>0</v>
      </c>
      <c r="AG119" s="8" t="s">
        <v>65</v>
      </c>
      <c r="AH119" s="8">
        <v>1</v>
      </c>
      <c r="AI119" s="8">
        <v>1</v>
      </c>
      <c r="AJ119" s="8">
        <v>1</v>
      </c>
      <c r="AK119" s="8">
        <v>1</v>
      </c>
      <c r="AR119" s="8">
        <v>2790</v>
      </c>
      <c r="AS119" s="8">
        <v>2070</v>
      </c>
      <c r="AT119">
        <v>7787295</v>
      </c>
      <c r="AU119" s="8" t="s">
        <v>66</v>
      </c>
      <c r="AW119" s="8">
        <v>0</v>
      </c>
    </row>
    <row r="120" spans="1:49" x14ac:dyDescent="0.25">
      <c r="A120" t="s">
        <v>523</v>
      </c>
      <c r="B120">
        <v>7786480</v>
      </c>
      <c r="C120" t="s">
        <v>58</v>
      </c>
      <c r="D120">
        <v>19</v>
      </c>
      <c r="E120">
        <v>0</v>
      </c>
      <c r="F120">
        <v>11.06</v>
      </c>
      <c r="G120">
        <v>750</v>
      </c>
      <c r="J120" t="s">
        <v>524</v>
      </c>
      <c r="K120" s="8">
        <v>1</v>
      </c>
      <c r="L120" s="8">
        <v>1</v>
      </c>
      <c r="M120" t="str">
        <f t="shared" si="1"/>
        <v>Melamine-U114-Jaune tournesol-ST9 19 mm</v>
      </c>
      <c r="N120" s="8">
        <v>0</v>
      </c>
      <c r="O120" s="8">
        <v>1</v>
      </c>
      <c r="P120" s="8">
        <v>0</v>
      </c>
      <c r="Q120" s="8" t="s">
        <v>61</v>
      </c>
      <c r="R120" s="8" t="s">
        <v>62</v>
      </c>
      <c r="AB120" t="s">
        <v>525</v>
      </c>
      <c r="AD120" t="s">
        <v>526</v>
      </c>
      <c r="AE120" s="8">
        <v>1</v>
      </c>
      <c r="AF120" s="8">
        <v>0</v>
      </c>
      <c r="AG120" s="8" t="s">
        <v>65</v>
      </c>
      <c r="AH120" s="8">
        <v>1</v>
      </c>
      <c r="AI120" s="8">
        <v>1</v>
      </c>
      <c r="AJ120" s="8">
        <v>1</v>
      </c>
      <c r="AK120" s="8">
        <v>1</v>
      </c>
      <c r="AR120" s="8">
        <v>2790</v>
      </c>
      <c r="AS120" s="8">
        <v>2070</v>
      </c>
      <c r="AT120">
        <v>7787296</v>
      </c>
      <c r="AU120" s="8" t="s">
        <v>66</v>
      </c>
      <c r="AW120" s="8">
        <v>0</v>
      </c>
    </row>
    <row r="121" spans="1:49" x14ac:dyDescent="0.25">
      <c r="A121" t="s">
        <v>527</v>
      </c>
      <c r="B121">
        <v>4766347</v>
      </c>
      <c r="C121" t="s">
        <v>58</v>
      </c>
      <c r="D121">
        <v>19</v>
      </c>
      <c r="E121">
        <v>0</v>
      </c>
      <c r="F121">
        <v>20.84</v>
      </c>
      <c r="G121">
        <v>750</v>
      </c>
      <c r="J121" t="s">
        <v>528</v>
      </c>
      <c r="K121" s="8">
        <v>1</v>
      </c>
      <c r="L121" s="8">
        <v>1</v>
      </c>
      <c r="M121" t="str">
        <f t="shared" si="1"/>
        <v>Melamine-U115-Beige carat-ST9 19 mm</v>
      </c>
      <c r="N121" s="8">
        <v>0</v>
      </c>
      <c r="O121" s="8">
        <v>1</v>
      </c>
      <c r="P121" s="8">
        <v>0</v>
      </c>
      <c r="Q121" s="8" t="s">
        <v>61</v>
      </c>
      <c r="R121" s="8" t="s">
        <v>62</v>
      </c>
      <c r="AB121" t="s">
        <v>529</v>
      </c>
      <c r="AD121" t="s">
        <v>530</v>
      </c>
      <c r="AE121" s="8">
        <v>1</v>
      </c>
      <c r="AF121" s="8">
        <v>0</v>
      </c>
      <c r="AG121" s="8" t="s">
        <v>65</v>
      </c>
      <c r="AH121" s="8">
        <v>1</v>
      </c>
      <c r="AI121" s="8">
        <v>1</v>
      </c>
      <c r="AJ121" s="8">
        <v>1</v>
      </c>
      <c r="AK121" s="8">
        <v>1</v>
      </c>
      <c r="AR121" s="8">
        <v>2790</v>
      </c>
      <c r="AS121" s="8">
        <v>2070</v>
      </c>
      <c r="AT121">
        <v>6232231</v>
      </c>
      <c r="AU121" s="8" t="s">
        <v>66</v>
      </c>
      <c r="AW121" s="8">
        <v>0</v>
      </c>
    </row>
    <row r="122" spans="1:49" x14ac:dyDescent="0.25">
      <c r="A122" t="s">
        <v>531</v>
      </c>
      <c r="B122">
        <v>4766350</v>
      </c>
      <c r="C122" t="s">
        <v>58</v>
      </c>
      <c r="D122">
        <v>19</v>
      </c>
      <c r="E122">
        <v>0</v>
      </c>
      <c r="F122">
        <v>15.12</v>
      </c>
      <c r="G122">
        <v>750</v>
      </c>
      <c r="J122" t="s">
        <v>532</v>
      </c>
      <c r="K122" s="8">
        <v>1</v>
      </c>
      <c r="L122" s="8">
        <v>1</v>
      </c>
      <c r="M122" t="str">
        <f t="shared" si="1"/>
        <v>Melamine-U125-Jaune sable-ST9 19 mm</v>
      </c>
      <c r="N122" s="8">
        <v>0</v>
      </c>
      <c r="O122" s="8">
        <v>1</v>
      </c>
      <c r="P122" s="8">
        <v>0</v>
      </c>
      <c r="Q122" s="8" t="s">
        <v>61</v>
      </c>
      <c r="R122" s="8" t="s">
        <v>62</v>
      </c>
      <c r="AB122" t="s">
        <v>533</v>
      </c>
      <c r="AD122" t="s">
        <v>534</v>
      </c>
      <c r="AE122" s="8">
        <v>1</v>
      </c>
      <c r="AF122" s="8">
        <v>0</v>
      </c>
      <c r="AG122" s="8" t="s">
        <v>65</v>
      </c>
      <c r="AH122" s="8">
        <v>1</v>
      </c>
      <c r="AI122" s="8">
        <v>1</v>
      </c>
      <c r="AJ122" s="8">
        <v>1</v>
      </c>
      <c r="AK122" s="8">
        <v>1</v>
      </c>
      <c r="AR122" s="8">
        <v>2790</v>
      </c>
      <c r="AS122" s="8">
        <v>2070</v>
      </c>
      <c r="AT122">
        <v>4766350</v>
      </c>
      <c r="AU122" s="8" t="s">
        <v>66</v>
      </c>
      <c r="AW122" s="8">
        <v>0</v>
      </c>
    </row>
    <row r="123" spans="1:49" x14ac:dyDescent="0.25">
      <c r="A123" t="s">
        <v>535</v>
      </c>
      <c r="B123">
        <v>7786481</v>
      </c>
      <c r="C123" t="s">
        <v>58</v>
      </c>
      <c r="D123">
        <v>19</v>
      </c>
      <c r="E123">
        <v>0</v>
      </c>
      <c r="F123">
        <v>11.83</v>
      </c>
      <c r="G123">
        <v>750</v>
      </c>
      <c r="J123" t="s">
        <v>536</v>
      </c>
      <c r="K123" s="8">
        <v>1</v>
      </c>
      <c r="L123" s="8">
        <v>1</v>
      </c>
      <c r="M123" t="str">
        <f t="shared" si="1"/>
        <v>Melamine-U131-Jaune citron-ST9 19 mm</v>
      </c>
      <c r="N123" s="8">
        <v>0</v>
      </c>
      <c r="O123" s="8">
        <v>1</v>
      </c>
      <c r="P123" s="8">
        <v>0</v>
      </c>
      <c r="Q123" s="8" t="s">
        <v>61</v>
      </c>
      <c r="R123" s="8" t="s">
        <v>62</v>
      </c>
      <c r="AB123" t="s">
        <v>537</v>
      </c>
      <c r="AD123" t="s">
        <v>538</v>
      </c>
      <c r="AE123" s="8">
        <v>1</v>
      </c>
      <c r="AF123" s="8">
        <v>0</v>
      </c>
      <c r="AG123" s="8" t="s">
        <v>65</v>
      </c>
      <c r="AH123" s="8">
        <v>1</v>
      </c>
      <c r="AI123" s="8">
        <v>1</v>
      </c>
      <c r="AJ123" s="8">
        <v>1</v>
      </c>
      <c r="AK123" s="8">
        <v>1</v>
      </c>
      <c r="AR123" s="8">
        <v>2790</v>
      </c>
      <c r="AS123" s="8">
        <v>2070</v>
      </c>
      <c r="AT123">
        <v>7787297</v>
      </c>
      <c r="AU123" s="8" t="s">
        <v>66</v>
      </c>
      <c r="AW123" s="8">
        <v>0</v>
      </c>
    </row>
    <row r="124" spans="1:49" x14ac:dyDescent="0.25">
      <c r="A124" t="s">
        <v>539</v>
      </c>
      <c r="B124">
        <v>7786484</v>
      </c>
      <c r="C124" t="s">
        <v>58</v>
      </c>
      <c r="D124">
        <v>19</v>
      </c>
      <c r="E124">
        <v>0</v>
      </c>
      <c r="F124">
        <v>9.02</v>
      </c>
      <c r="G124">
        <v>750</v>
      </c>
      <c r="J124" t="s">
        <v>540</v>
      </c>
      <c r="K124" s="8">
        <v>1</v>
      </c>
      <c r="L124" s="8">
        <v>1</v>
      </c>
      <c r="M124" t="str">
        <f t="shared" si="1"/>
        <v>Melamine-U156-Beige rose-ST9 19 mm</v>
      </c>
      <c r="N124" s="8">
        <v>0</v>
      </c>
      <c r="O124" s="8">
        <v>1</v>
      </c>
      <c r="P124" s="8">
        <v>0</v>
      </c>
      <c r="Q124" s="8" t="s">
        <v>61</v>
      </c>
      <c r="R124" s="8" t="s">
        <v>62</v>
      </c>
      <c r="AB124" t="s">
        <v>541</v>
      </c>
      <c r="AD124" t="s">
        <v>542</v>
      </c>
      <c r="AE124" s="8">
        <v>1</v>
      </c>
      <c r="AF124" s="8">
        <v>0</v>
      </c>
      <c r="AG124" s="8" t="s">
        <v>65</v>
      </c>
      <c r="AH124" s="8">
        <v>1</v>
      </c>
      <c r="AI124" s="8">
        <v>1</v>
      </c>
      <c r="AJ124" s="8">
        <v>1</v>
      </c>
      <c r="AK124" s="8">
        <v>1</v>
      </c>
      <c r="AR124" s="8">
        <v>2790</v>
      </c>
      <c r="AS124" s="8">
        <v>2070</v>
      </c>
      <c r="AT124">
        <v>7787300</v>
      </c>
      <c r="AU124" s="8" t="s">
        <v>66</v>
      </c>
      <c r="AW124" s="8">
        <v>0</v>
      </c>
    </row>
    <row r="125" spans="1:49" x14ac:dyDescent="0.25">
      <c r="A125" t="s">
        <v>543</v>
      </c>
      <c r="B125">
        <v>7786485</v>
      </c>
      <c r="C125" t="s">
        <v>58</v>
      </c>
      <c r="D125">
        <v>19</v>
      </c>
      <c r="E125">
        <v>0</v>
      </c>
      <c r="F125">
        <v>15.12</v>
      </c>
      <c r="G125">
        <v>750</v>
      </c>
      <c r="J125" t="s">
        <v>544</v>
      </c>
      <c r="K125" s="8">
        <v>1</v>
      </c>
      <c r="L125" s="8">
        <v>1</v>
      </c>
      <c r="M125" t="str">
        <f t="shared" si="1"/>
        <v>Melamine-U163-Jaune curry-ST9 19 mm</v>
      </c>
      <c r="N125" s="8">
        <v>0</v>
      </c>
      <c r="O125" s="8">
        <v>1</v>
      </c>
      <c r="P125" s="8">
        <v>0</v>
      </c>
      <c r="Q125" s="8" t="s">
        <v>61</v>
      </c>
      <c r="R125" s="8" t="s">
        <v>62</v>
      </c>
      <c r="AB125" t="s">
        <v>545</v>
      </c>
      <c r="AD125" t="s">
        <v>546</v>
      </c>
      <c r="AE125" s="8">
        <v>1</v>
      </c>
      <c r="AF125" s="8">
        <v>0</v>
      </c>
      <c r="AG125" s="8" t="s">
        <v>65</v>
      </c>
      <c r="AH125" s="8">
        <v>1</v>
      </c>
      <c r="AI125" s="8">
        <v>1</v>
      </c>
      <c r="AJ125" s="8">
        <v>1</v>
      </c>
      <c r="AK125" s="8">
        <v>1</v>
      </c>
      <c r="AR125" s="8">
        <v>2790</v>
      </c>
      <c r="AS125" s="8">
        <v>2070</v>
      </c>
      <c r="AT125">
        <v>7786485</v>
      </c>
      <c r="AU125" s="8" t="s">
        <v>66</v>
      </c>
      <c r="AW125" s="8">
        <v>0</v>
      </c>
    </row>
    <row r="126" spans="1:49" x14ac:dyDescent="0.25">
      <c r="A126" t="s">
        <v>547</v>
      </c>
      <c r="B126">
        <v>7786487</v>
      </c>
      <c r="C126" t="s">
        <v>58</v>
      </c>
      <c r="D126">
        <v>19</v>
      </c>
      <c r="E126">
        <v>0</v>
      </c>
      <c r="F126">
        <v>24.18</v>
      </c>
      <c r="G126">
        <v>750</v>
      </c>
      <c r="J126" t="s">
        <v>548</v>
      </c>
      <c r="K126" s="8">
        <v>1</v>
      </c>
      <c r="L126" s="8">
        <v>1</v>
      </c>
      <c r="M126" t="str">
        <f t="shared" si="1"/>
        <v>Melamine-U201-Gris galet-ST9 19 mm</v>
      </c>
      <c r="N126" s="8">
        <v>0</v>
      </c>
      <c r="O126" s="8">
        <v>1</v>
      </c>
      <c r="P126" s="8">
        <v>0</v>
      </c>
      <c r="Q126" s="8" t="s">
        <v>61</v>
      </c>
      <c r="R126" s="8" t="s">
        <v>62</v>
      </c>
      <c r="AB126" t="s">
        <v>549</v>
      </c>
      <c r="AD126" t="s">
        <v>550</v>
      </c>
      <c r="AE126" s="8">
        <v>1</v>
      </c>
      <c r="AF126" s="8">
        <v>0</v>
      </c>
      <c r="AG126" s="8" t="s">
        <v>65</v>
      </c>
      <c r="AH126" s="8">
        <v>1</v>
      </c>
      <c r="AI126" s="8">
        <v>1</v>
      </c>
      <c r="AJ126" s="8">
        <v>1</v>
      </c>
      <c r="AK126" s="8">
        <v>1</v>
      </c>
      <c r="AR126" s="8">
        <v>2790</v>
      </c>
      <c r="AS126" s="8">
        <v>2070</v>
      </c>
      <c r="AT126">
        <v>4765999</v>
      </c>
      <c r="AU126" s="8" t="s">
        <v>66</v>
      </c>
      <c r="AW126" s="8">
        <v>0</v>
      </c>
    </row>
    <row r="127" spans="1:49" x14ac:dyDescent="0.25">
      <c r="A127" t="s">
        <v>551</v>
      </c>
      <c r="B127">
        <v>4766353</v>
      </c>
      <c r="C127" t="s">
        <v>58</v>
      </c>
      <c r="D127">
        <v>19</v>
      </c>
      <c r="E127">
        <v>0</v>
      </c>
      <c r="F127">
        <v>11.45</v>
      </c>
      <c r="G127">
        <v>750</v>
      </c>
      <c r="J127" t="s">
        <v>552</v>
      </c>
      <c r="K127" s="8">
        <v>1</v>
      </c>
      <c r="L127" s="8">
        <v>1</v>
      </c>
      <c r="M127" t="str">
        <f t="shared" si="1"/>
        <v>Melamine-U211-Beige amande-ST9 19 mm</v>
      </c>
      <c r="N127" s="8">
        <v>0</v>
      </c>
      <c r="O127" s="8">
        <v>1</v>
      </c>
      <c r="P127" s="8">
        <v>0</v>
      </c>
      <c r="Q127" s="8" t="s">
        <v>61</v>
      </c>
      <c r="R127" s="8" t="s">
        <v>62</v>
      </c>
      <c r="AB127" t="s">
        <v>553</v>
      </c>
      <c r="AD127" t="s">
        <v>554</v>
      </c>
      <c r="AE127" s="8">
        <v>1</v>
      </c>
      <c r="AF127" s="8">
        <v>0</v>
      </c>
      <c r="AG127" s="8" t="s">
        <v>65</v>
      </c>
      <c r="AH127" s="8">
        <v>1</v>
      </c>
      <c r="AI127" s="8">
        <v>1</v>
      </c>
      <c r="AJ127" s="8">
        <v>1</v>
      </c>
      <c r="AK127" s="8">
        <v>1</v>
      </c>
      <c r="AR127" s="8">
        <v>2790</v>
      </c>
      <c r="AS127" s="8">
        <v>2070</v>
      </c>
      <c r="AT127">
        <v>4766352</v>
      </c>
      <c r="AU127" s="8" t="s">
        <v>66</v>
      </c>
      <c r="AW127" s="8">
        <v>0</v>
      </c>
    </row>
    <row r="128" spans="1:49" x14ac:dyDescent="0.25">
      <c r="A128" t="s">
        <v>555</v>
      </c>
      <c r="B128">
        <v>7786489</v>
      </c>
      <c r="C128" t="s">
        <v>58</v>
      </c>
      <c r="D128">
        <v>19</v>
      </c>
      <c r="E128">
        <v>0</v>
      </c>
      <c r="F128">
        <v>11.26</v>
      </c>
      <c r="G128">
        <v>750</v>
      </c>
      <c r="J128" t="s">
        <v>556</v>
      </c>
      <c r="K128" s="8">
        <v>1</v>
      </c>
      <c r="L128" s="8">
        <v>1</v>
      </c>
      <c r="M128" t="str">
        <f t="shared" si="1"/>
        <v>Melamine-U216-Blanc casse-ST9 19 mm</v>
      </c>
      <c r="N128" s="8">
        <v>0</v>
      </c>
      <c r="O128" s="8">
        <v>1</v>
      </c>
      <c r="P128" s="8">
        <v>0</v>
      </c>
      <c r="Q128" s="8" t="s">
        <v>61</v>
      </c>
      <c r="R128" s="8" t="s">
        <v>62</v>
      </c>
      <c r="AB128" t="s">
        <v>557</v>
      </c>
      <c r="AD128" t="s">
        <v>558</v>
      </c>
      <c r="AE128" s="8">
        <v>1</v>
      </c>
      <c r="AF128" s="8">
        <v>0</v>
      </c>
      <c r="AG128" s="8" t="s">
        <v>65</v>
      </c>
      <c r="AH128" s="8">
        <v>1</v>
      </c>
      <c r="AI128" s="8">
        <v>1</v>
      </c>
      <c r="AJ128" s="8">
        <v>1</v>
      </c>
      <c r="AK128" s="8">
        <v>1</v>
      </c>
      <c r="AR128" s="8">
        <v>2790</v>
      </c>
      <c r="AS128" s="8">
        <v>2070</v>
      </c>
      <c r="AT128">
        <v>7786489</v>
      </c>
      <c r="AU128" s="8" t="s">
        <v>66</v>
      </c>
      <c r="AW128" s="8">
        <v>0</v>
      </c>
    </row>
    <row r="129" spans="1:49" x14ac:dyDescent="0.25">
      <c r="A129" t="s">
        <v>559</v>
      </c>
      <c r="B129">
        <v>7786490</v>
      </c>
      <c r="C129" t="s">
        <v>58</v>
      </c>
      <c r="D129">
        <v>19</v>
      </c>
      <c r="E129">
        <v>0</v>
      </c>
      <c r="F129">
        <v>12.26</v>
      </c>
      <c r="G129">
        <v>750</v>
      </c>
      <c r="J129" t="s">
        <v>560</v>
      </c>
      <c r="K129" s="8">
        <v>1</v>
      </c>
      <c r="L129" s="8">
        <v>1</v>
      </c>
      <c r="M129" t="str">
        <f t="shared" si="1"/>
        <v>Melamine-U222-Blanc ecru-ST9 19 mm</v>
      </c>
      <c r="N129" s="8">
        <v>0</v>
      </c>
      <c r="O129" s="8">
        <v>1</v>
      </c>
      <c r="P129" s="8">
        <v>0</v>
      </c>
      <c r="Q129" s="8" t="s">
        <v>61</v>
      </c>
      <c r="R129" s="8" t="s">
        <v>62</v>
      </c>
      <c r="AB129" t="s">
        <v>561</v>
      </c>
      <c r="AD129" t="s">
        <v>562</v>
      </c>
      <c r="AE129" s="8">
        <v>1</v>
      </c>
      <c r="AF129" s="8">
        <v>0</v>
      </c>
      <c r="AG129" s="8" t="s">
        <v>65</v>
      </c>
      <c r="AH129" s="8">
        <v>1</v>
      </c>
      <c r="AI129" s="8">
        <v>1</v>
      </c>
      <c r="AJ129" s="8">
        <v>1</v>
      </c>
      <c r="AK129" s="8">
        <v>1</v>
      </c>
      <c r="AR129" s="8">
        <v>2790</v>
      </c>
      <c r="AS129" s="8">
        <v>2070</v>
      </c>
      <c r="AT129">
        <v>6766245</v>
      </c>
      <c r="AU129" s="8" t="s">
        <v>66</v>
      </c>
      <c r="AW129" s="8">
        <v>0</v>
      </c>
    </row>
    <row r="130" spans="1:49" x14ac:dyDescent="0.25">
      <c r="A130" t="s">
        <v>563</v>
      </c>
      <c r="B130">
        <v>7786491</v>
      </c>
      <c r="C130" t="s">
        <v>58</v>
      </c>
      <c r="D130">
        <v>19</v>
      </c>
      <c r="E130">
        <v>0</v>
      </c>
      <c r="F130">
        <v>11.45</v>
      </c>
      <c r="G130">
        <v>750</v>
      </c>
      <c r="J130" t="s">
        <v>564</v>
      </c>
      <c r="K130" s="8">
        <v>1</v>
      </c>
      <c r="L130" s="8">
        <v>1</v>
      </c>
      <c r="M130" t="str">
        <f t="shared" si="1"/>
        <v>Melamine-U232-Nude abricot-ST9 19 mm</v>
      </c>
      <c r="N130" s="8">
        <v>0</v>
      </c>
      <c r="O130" s="8">
        <v>1</v>
      </c>
      <c r="P130" s="8">
        <v>0</v>
      </c>
      <c r="Q130" s="8" t="s">
        <v>61</v>
      </c>
      <c r="R130" s="8" t="s">
        <v>62</v>
      </c>
      <c r="AB130" t="s">
        <v>565</v>
      </c>
      <c r="AD130" t="s">
        <v>566</v>
      </c>
      <c r="AE130" s="8">
        <v>1</v>
      </c>
      <c r="AF130" s="8">
        <v>0</v>
      </c>
      <c r="AG130" s="8" t="s">
        <v>65</v>
      </c>
      <c r="AH130" s="8">
        <v>1</v>
      </c>
      <c r="AI130" s="8">
        <v>1</v>
      </c>
      <c r="AJ130" s="8">
        <v>1</v>
      </c>
      <c r="AK130" s="8">
        <v>1</v>
      </c>
      <c r="AR130" s="8">
        <v>2790</v>
      </c>
      <c r="AS130" s="8">
        <v>2070</v>
      </c>
      <c r="AT130">
        <v>7787307</v>
      </c>
      <c r="AU130" s="8" t="s">
        <v>66</v>
      </c>
      <c r="AW130" s="8">
        <v>0</v>
      </c>
    </row>
    <row r="131" spans="1:49" x14ac:dyDescent="0.25">
      <c r="A131" t="s">
        <v>567</v>
      </c>
      <c r="B131">
        <v>7786492</v>
      </c>
      <c r="C131" t="s">
        <v>58</v>
      </c>
      <c r="D131">
        <v>19</v>
      </c>
      <c r="E131">
        <v>0</v>
      </c>
      <c r="F131">
        <v>11.45</v>
      </c>
      <c r="G131">
        <v>750</v>
      </c>
      <c r="J131" t="s">
        <v>568</v>
      </c>
      <c r="K131" s="8">
        <v>1</v>
      </c>
      <c r="L131" s="8">
        <v>1</v>
      </c>
      <c r="M131" t="str">
        <f t="shared" si="1"/>
        <v>Melamine-U311-Rouge bordeaux-ST9 19 mm</v>
      </c>
      <c r="N131" s="8">
        <v>0</v>
      </c>
      <c r="O131" s="8">
        <v>1</v>
      </c>
      <c r="P131" s="8">
        <v>0</v>
      </c>
      <c r="Q131" s="8" t="s">
        <v>61</v>
      </c>
      <c r="R131" s="8" t="s">
        <v>62</v>
      </c>
      <c r="AB131" t="s">
        <v>569</v>
      </c>
      <c r="AD131" t="s">
        <v>570</v>
      </c>
      <c r="AE131" s="8">
        <v>1</v>
      </c>
      <c r="AF131" s="8">
        <v>0</v>
      </c>
      <c r="AG131" s="8" t="s">
        <v>65</v>
      </c>
      <c r="AH131" s="8">
        <v>1</v>
      </c>
      <c r="AI131" s="8">
        <v>1</v>
      </c>
      <c r="AJ131" s="8">
        <v>1</v>
      </c>
      <c r="AK131" s="8">
        <v>1</v>
      </c>
      <c r="AR131" s="8">
        <v>2790</v>
      </c>
      <c r="AS131" s="8">
        <v>2070</v>
      </c>
      <c r="AT131">
        <v>7787308</v>
      </c>
      <c r="AU131" s="8" t="s">
        <v>66</v>
      </c>
      <c r="AW131" s="8">
        <v>0</v>
      </c>
    </row>
    <row r="132" spans="1:49" x14ac:dyDescent="0.25">
      <c r="A132" t="s">
        <v>571</v>
      </c>
      <c r="B132">
        <v>7786494</v>
      </c>
      <c r="C132" t="s">
        <v>58</v>
      </c>
      <c r="D132">
        <v>19</v>
      </c>
      <c r="E132">
        <v>0</v>
      </c>
      <c r="F132">
        <v>11.06</v>
      </c>
      <c r="G132">
        <v>750</v>
      </c>
      <c r="J132" t="s">
        <v>572</v>
      </c>
      <c r="K132" s="8">
        <v>1</v>
      </c>
      <c r="L132" s="8">
        <v>1</v>
      </c>
      <c r="M132" t="str">
        <f t="shared" si="1"/>
        <v>Melamine-U321-Rouge-ST9 19 mm</v>
      </c>
      <c r="N132" s="8">
        <v>0</v>
      </c>
      <c r="O132" s="8">
        <v>1</v>
      </c>
      <c r="P132" s="8">
        <v>0</v>
      </c>
      <c r="Q132" s="8" t="s">
        <v>61</v>
      </c>
      <c r="R132" s="8" t="s">
        <v>62</v>
      </c>
      <c r="AB132" t="s">
        <v>573</v>
      </c>
      <c r="AD132" t="s">
        <v>574</v>
      </c>
      <c r="AE132" s="8">
        <v>1</v>
      </c>
      <c r="AF132" s="8">
        <v>0</v>
      </c>
      <c r="AG132" s="8" t="s">
        <v>65</v>
      </c>
      <c r="AH132" s="8">
        <v>1</v>
      </c>
      <c r="AI132" s="8">
        <v>1</v>
      </c>
      <c r="AJ132" s="8">
        <v>1</v>
      </c>
      <c r="AK132" s="8">
        <v>1</v>
      </c>
      <c r="AR132" s="8">
        <v>2790</v>
      </c>
      <c r="AS132" s="8">
        <v>2070</v>
      </c>
      <c r="AT132">
        <v>7787310</v>
      </c>
      <c r="AU132" s="8" t="s">
        <v>66</v>
      </c>
      <c r="AW132" s="8">
        <v>0</v>
      </c>
    </row>
    <row r="133" spans="1:49" x14ac:dyDescent="0.25">
      <c r="A133" t="s">
        <v>575</v>
      </c>
      <c r="B133">
        <v>7786495</v>
      </c>
      <c r="C133" t="s">
        <v>58</v>
      </c>
      <c r="D133">
        <v>19</v>
      </c>
      <c r="E133">
        <v>0</v>
      </c>
      <c r="F133">
        <v>11.45</v>
      </c>
      <c r="G133">
        <v>750</v>
      </c>
      <c r="J133" t="s">
        <v>576</v>
      </c>
      <c r="K133" s="8">
        <v>1</v>
      </c>
      <c r="L133" s="8">
        <v>1</v>
      </c>
      <c r="M133" t="str">
        <f t="shared" ref="M133:M196" si="2">IF(ISNUMBER(SEARCH("Melamine",A133)),_xlfn.CONCAT(A133," ",D133," mm"),A133)</f>
        <v>Melamine-U323-Rouge cerise-ST9 19 mm</v>
      </c>
      <c r="N133" s="8">
        <v>0</v>
      </c>
      <c r="O133" s="8">
        <v>1</v>
      </c>
      <c r="P133" s="8">
        <v>0</v>
      </c>
      <c r="Q133" s="8" t="s">
        <v>61</v>
      </c>
      <c r="R133" s="8" t="s">
        <v>62</v>
      </c>
      <c r="AB133" t="s">
        <v>577</v>
      </c>
      <c r="AD133" t="s">
        <v>578</v>
      </c>
      <c r="AE133" s="8">
        <v>1</v>
      </c>
      <c r="AF133" s="8">
        <v>0</v>
      </c>
      <c r="AG133" s="8" t="s">
        <v>65</v>
      </c>
      <c r="AH133" s="8">
        <v>1</v>
      </c>
      <c r="AI133" s="8">
        <v>1</v>
      </c>
      <c r="AJ133" s="8">
        <v>1</v>
      </c>
      <c r="AK133" s="8">
        <v>1</v>
      </c>
      <c r="AR133" s="8">
        <v>2790</v>
      </c>
      <c r="AS133" s="8">
        <v>2070</v>
      </c>
      <c r="AT133">
        <v>7787311</v>
      </c>
      <c r="AU133" s="8" t="s">
        <v>66</v>
      </c>
      <c r="AW133" s="8">
        <v>0</v>
      </c>
    </row>
    <row r="134" spans="1:49" x14ac:dyDescent="0.25">
      <c r="A134" t="s">
        <v>579</v>
      </c>
      <c r="B134">
        <v>7786496</v>
      </c>
      <c r="C134" t="s">
        <v>58</v>
      </c>
      <c r="D134">
        <v>19</v>
      </c>
      <c r="E134">
        <v>0</v>
      </c>
      <c r="F134">
        <v>11.45</v>
      </c>
      <c r="G134">
        <v>750</v>
      </c>
      <c r="J134" t="s">
        <v>580</v>
      </c>
      <c r="K134" s="8">
        <v>1</v>
      </c>
      <c r="L134" s="8">
        <v>1</v>
      </c>
      <c r="M134" t="str">
        <f t="shared" si="2"/>
        <v>Melamine-U325-Rose antique-ST9 19 mm</v>
      </c>
      <c r="N134" s="8">
        <v>0</v>
      </c>
      <c r="O134" s="8">
        <v>1</v>
      </c>
      <c r="P134" s="8">
        <v>0</v>
      </c>
      <c r="Q134" s="8" t="s">
        <v>61</v>
      </c>
      <c r="R134" s="8" t="s">
        <v>62</v>
      </c>
      <c r="AB134" t="s">
        <v>581</v>
      </c>
      <c r="AD134" t="s">
        <v>582</v>
      </c>
      <c r="AE134" s="8">
        <v>1</v>
      </c>
      <c r="AF134" s="8">
        <v>0</v>
      </c>
      <c r="AG134" s="8" t="s">
        <v>65</v>
      </c>
      <c r="AH134" s="8">
        <v>1</v>
      </c>
      <c r="AI134" s="8">
        <v>1</v>
      </c>
      <c r="AJ134" s="8">
        <v>1</v>
      </c>
      <c r="AK134" s="8">
        <v>1</v>
      </c>
      <c r="AR134" s="8">
        <v>2790</v>
      </c>
      <c r="AS134" s="8">
        <v>2070</v>
      </c>
      <c r="AT134">
        <v>7787312</v>
      </c>
      <c r="AU134" s="8" t="s">
        <v>66</v>
      </c>
      <c r="AW134" s="8">
        <v>0</v>
      </c>
    </row>
    <row r="135" spans="1:49" x14ac:dyDescent="0.25">
      <c r="A135" t="s">
        <v>583</v>
      </c>
      <c r="B135">
        <v>7786499</v>
      </c>
      <c r="C135" t="s">
        <v>58</v>
      </c>
      <c r="D135">
        <v>19</v>
      </c>
      <c r="E135">
        <v>0</v>
      </c>
      <c r="F135">
        <v>11.45</v>
      </c>
      <c r="G135">
        <v>750</v>
      </c>
      <c r="J135" t="s">
        <v>584</v>
      </c>
      <c r="K135" s="8">
        <v>1</v>
      </c>
      <c r="L135" s="8">
        <v>1</v>
      </c>
      <c r="M135" t="str">
        <f t="shared" si="2"/>
        <v>Melamine-U332-Orange-ST9 19 mm</v>
      </c>
      <c r="N135" s="8">
        <v>0</v>
      </c>
      <c r="O135" s="8">
        <v>1</v>
      </c>
      <c r="P135" s="8">
        <v>0</v>
      </c>
      <c r="Q135" s="8" t="s">
        <v>61</v>
      </c>
      <c r="R135" s="8" t="s">
        <v>62</v>
      </c>
      <c r="AB135" t="s">
        <v>585</v>
      </c>
      <c r="AD135" t="s">
        <v>586</v>
      </c>
      <c r="AE135" s="8">
        <v>1</v>
      </c>
      <c r="AF135" s="8">
        <v>0</v>
      </c>
      <c r="AG135" s="8" t="s">
        <v>65</v>
      </c>
      <c r="AH135" s="8">
        <v>1</v>
      </c>
      <c r="AI135" s="8">
        <v>1</v>
      </c>
      <c r="AJ135" s="8">
        <v>1</v>
      </c>
      <c r="AK135" s="8">
        <v>1</v>
      </c>
      <c r="AR135" s="8">
        <v>2790</v>
      </c>
      <c r="AS135" s="8">
        <v>2070</v>
      </c>
      <c r="AT135">
        <v>7787315</v>
      </c>
      <c r="AU135" s="8" t="s">
        <v>66</v>
      </c>
      <c r="AW135" s="8">
        <v>0</v>
      </c>
    </row>
    <row r="136" spans="1:49" x14ac:dyDescent="0.25">
      <c r="A136" t="s">
        <v>587</v>
      </c>
      <c r="B136">
        <v>4766356</v>
      </c>
      <c r="C136" t="s">
        <v>58</v>
      </c>
      <c r="D136">
        <v>19</v>
      </c>
      <c r="E136">
        <v>0</v>
      </c>
      <c r="F136">
        <v>11.45</v>
      </c>
      <c r="G136">
        <v>750</v>
      </c>
      <c r="J136" t="s">
        <v>588</v>
      </c>
      <c r="K136" s="8">
        <v>1</v>
      </c>
      <c r="L136" s="8">
        <v>1</v>
      </c>
      <c r="M136" t="str">
        <f t="shared" si="2"/>
        <v>Melamine-U335-Rouge oxyde-ST9 19 mm</v>
      </c>
      <c r="N136" s="8">
        <v>0</v>
      </c>
      <c r="O136" s="8">
        <v>1</v>
      </c>
      <c r="P136" s="8">
        <v>0</v>
      </c>
      <c r="Q136" s="8" t="s">
        <v>61</v>
      </c>
      <c r="R136" s="8" t="s">
        <v>62</v>
      </c>
      <c r="AB136" t="s">
        <v>589</v>
      </c>
      <c r="AD136" t="s">
        <v>590</v>
      </c>
      <c r="AE136" s="8">
        <v>1</v>
      </c>
      <c r="AF136" s="8">
        <v>0</v>
      </c>
      <c r="AG136" s="8" t="s">
        <v>65</v>
      </c>
      <c r="AH136" s="8">
        <v>1</v>
      </c>
      <c r="AI136" s="8">
        <v>1</v>
      </c>
      <c r="AJ136" s="8">
        <v>1</v>
      </c>
      <c r="AK136" s="8">
        <v>1</v>
      </c>
      <c r="AR136" s="8">
        <v>2790</v>
      </c>
      <c r="AS136" s="8">
        <v>2070</v>
      </c>
      <c r="AT136">
        <v>4766355</v>
      </c>
      <c r="AU136" s="8" t="s">
        <v>66</v>
      </c>
      <c r="AW136" s="8">
        <v>0</v>
      </c>
    </row>
    <row r="137" spans="1:49" x14ac:dyDescent="0.25">
      <c r="A137" t="s">
        <v>591</v>
      </c>
      <c r="B137">
        <v>7786502</v>
      </c>
      <c r="C137" t="s">
        <v>58</v>
      </c>
      <c r="D137">
        <v>19</v>
      </c>
      <c r="E137">
        <v>0</v>
      </c>
      <c r="F137">
        <v>15.12</v>
      </c>
      <c r="G137">
        <v>750</v>
      </c>
      <c r="J137" t="s">
        <v>592</v>
      </c>
      <c r="K137" s="8">
        <v>1</v>
      </c>
      <c r="L137" s="8">
        <v>1</v>
      </c>
      <c r="M137" t="str">
        <f t="shared" si="2"/>
        <v>Melamine-U350-Orange de Sienne-ST9 19 mm</v>
      </c>
      <c r="N137" s="8">
        <v>0</v>
      </c>
      <c r="O137" s="8">
        <v>1</v>
      </c>
      <c r="P137" s="8">
        <v>0</v>
      </c>
      <c r="Q137" s="8" t="s">
        <v>61</v>
      </c>
      <c r="R137" s="8" t="s">
        <v>62</v>
      </c>
      <c r="AB137" t="s">
        <v>593</v>
      </c>
      <c r="AD137" t="s">
        <v>594</v>
      </c>
      <c r="AE137" s="8">
        <v>1</v>
      </c>
      <c r="AF137" s="8">
        <v>0</v>
      </c>
      <c r="AG137" s="8" t="s">
        <v>65</v>
      </c>
      <c r="AH137" s="8">
        <v>1</v>
      </c>
      <c r="AI137" s="8">
        <v>1</v>
      </c>
      <c r="AJ137" s="8">
        <v>1</v>
      </c>
      <c r="AK137" s="8">
        <v>1</v>
      </c>
      <c r="AR137" s="8">
        <v>2790</v>
      </c>
      <c r="AS137" s="8">
        <v>2070</v>
      </c>
      <c r="AT137">
        <v>7786502</v>
      </c>
      <c r="AU137" s="8" t="s">
        <v>66</v>
      </c>
      <c r="AW137" s="8">
        <v>0</v>
      </c>
    </row>
    <row r="138" spans="1:49" x14ac:dyDescent="0.25">
      <c r="A138" t="s">
        <v>595</v>
      </c>
      <c r="B138">
        <v>7786503</v>
      </c>
      <c r="C138" t="s">
        <v>58</v>
      </c>
      <c r="D138">
        <v>19</v>
      </c>
      <c r="E138">
        <v>0</v>
      </c>
      <c r="F138">
        <v>11.83</v>
      </c>
      <c r="G138">
        <v>750</v>
      </c>
      <c r="J138" t="s">
        <v>596</v>
      </c>
      <c r="K138" s="8">
        <v>1</v>
      </c>
      <c r="L138" s="8">
        <v>1</v>
      </c>
      <c r="M138" t="str">
        <f t="shared" si="2"/>
        <v>Melamine-U363-Rose flamingo-ST9 19 mm</v>
      </c>
      <c r="N138" s="8">
        <v>0</v>
      </c>
      <c r="O138" s="8">
        <v>1</v>
      </c>
      <c r="P138" s="8">
        <v>0</v>
      </c>
      <c r="Q138" s="8" t="s">
        <v>61</v>
      </c>
      <c r="R138" s="8" t="s">
        <v>62</v>
      </c>
      <c r="AB138" t="s">
        <v>597</v>
      </c>
      <c r="AD138" t="s">
        <v>598</v>
      </c>
      <c r="AE138" s="8">
        <v>1</v>
      </c>
      <c r="AF138" s="8">
        <v>0</v>
      </c>
      <c r="AG138" s="8" t="s">
        <v>65</v>
      </c>
      <c r="AH138" s="8">
        <v>1</v>
      </c>
      <c r="AI138" s="8">
        <v>1</v>
      </c>
      <c r="AJ138" s="8">
        <v>1</v>
      </c>
      <c r="AK138" s="8">
        <v>1</v>
      </c>
      <c r="AR138" s="8">
        <v>2790</v>
      </c>
      <c r="AS138" s="8">
        <v>2070</v>
      </c>
      <c r="AT138">
        <v>7787319</v>
      </c>
      <c r="AU138" s="8" t="s">
        <v>66</v>
      </c>
      <c r="AW138" s="8">
        <v>0</v>
      </c>
    </row>
    <row r="139" spans="1:49" x14ac:dyDescent="0.25">
      <c r="A139" t="s">
        <v>599</v>
      </c>
      <c r="B139">
        <v>7786505</v>
      </c>
      <c r="C139" t="s">
        <v>58</v>
      </c>
      <c r="D139">
        <v>19</v>
      </c>
      <c r="E139">
        <v>0</v>
      </c>
      <c r="F139">
        <v>25.32</v>
      </c>
      <c r="G139">
        <v>750</v>
      </c>
      <c r="J139" t="s">
        <v>600</v>
      </c>
      <c r="K139" s="8">
        <v>1</v>
      </c>
      <c r="L139" s="8">
        <v>1</v>
      </c>
      <c r="M139" t="str">
        <f t="shared" si="2"/>
        <v>Melamine-U399-Rouge grenat-ST9 19 mm</v>
      </c>
      <c r="N139" s="8">
        <v>0</v>
      </c>
      <c r="O139" s="8">
        <v>1</v>
      </c>
      <c r="P139" s="8">
        <v>0</v>
      </c>
      <c r="Q139" s="8" t="s">
        <v>61</v>
      </c>
      <c r="R139" s="8" t="s">
        <v>62</v>
      </c>
      <c r="AB139" t="s">
        <v>601</v>
      </c>
      <c r="AD139" t="s">
        <v>602</v>
      </c>
      <c r="AE139" s="8">
        <v>1</v>
      </c>
      <c r="AF139" s="8">
        <v>0</v>
      </c>
      <c r="AG139" s="8" t="s">
        <v>65</v>
      </c>
      <c r="AH139" s="8">
        <v>1</v>
      </c>
      <c r="AI139" s="8">
        <v>1</v>
      </c>
      <c r="AJ139" s="8">
        <v>1</v>
      </c>
      <c r="AK139" s="8">
        <v>1</v>
      </c>
      <c r="AR139" s="8">
        <v>2790</v>
      </c>
      <c r="AS139" s="8">
        <v>2070</v>
      </c>
      <c r="AT139">
        <v>4766418</v>
      </c>
      <c r="AU139" s="8" t="s">
        <v>66</v>
      </c>
      <c r="AW139" s="8">
        <v>0</v>
      </c>
    </row>
    <row r="140" spans="1:49" x14ac:dyDescent="0.25">
      <c r="A140" t="s">
        <v>603</v>
      </c>
      <c r="B140">
        <v>7786509</v>
      </c>
      <c r="C140" t="s">
        <v>58</v>
      </c>
      <c r="D140">
        <v>19</v>
      </c>
      <c r="E140">
        <v>0</v>
      </c>
      <c r="F140">
        <v>15.79</v>
      </c>
      <c r="G140">
        <v>750</v>
      </c>
      <c r="J140" t="s">
        <v>604</v>
      </c>
      <c r="K140" s="8">
        <v>1</v>
      </c>
      <c r="L140" s="8">
        <v>1</v>
      </c>
      <c r="M140" t="str">
        <f t="shared" si="2"/>
        <v>Melamine-U420-Lilas-ST9 19 mm</v>
      </c>
      <c r="N140" s="8">
        <v>0</v>
      </c>
      <c r="O140" s="8">
        <v>1</v>
      </c>
      <c r="P140" s="8">
        <v>0</v>
      </c>
      <c r="Q140" s="8" t="s">
        <v>61</v>
      </c>
      <c r="R140" s="8" t="s">
        <v>62</v>
      </c>
      <c r="AB140" t="s">
        <v>605</v>
      </c>
      <c r="AD140" t="s">
        <v>606</v>
      </c>
      <c r="AE140" s="8">
        <v>1</v>
      </c>
      <c r="AF140" s="8">
        <v>0</v>
      </c>
      <c r="AG140" s="8" t="s">
        <v>65</v>
      </c>
      <c r="AH140" s="8">
        <v>1</v>
      </c>
      <c r="AI140" s="8">
        <v>1</v>
      </c>
      <c r="AJ140" s="8">
        <v>1</v>
      </c>
      <c r="AK140" s="8">
        <v>1</v>
      </c>
      <c r="AR140" s="8">
        <v>2790</v>
      </c>
      <c r="AS140" s="8">
        <v>2070</v>
      </c>
      <c r="AT140">
        <v>7786509</v>
      </c>
      <c r="AU140" s="8" t="s">
        <v>66</v>
      </c>
      <c r="AW140" s="8">
        <v>0</v>
      </c>
    </row>
    <row r="141" spans="1:49" x14ac:dyDescent="0.25">
      <c r="A141" t="s">
        <v>607</v>
      </c>
      <c r="B141">
        <v>7786510</v>
      </c>
      <c r="C141" t="s">
        <v>58</v>
      </c>
      <c r="D141">
        <v>19</v>
      </c>
      <c r="E141">
        <v>0</v>
      </c>
      <c r="F141">
        <v>11.83</v>
      </c>
      <c r="G141">
        <v>750</v>
      </c>
      <c r="J141" t="s">
        <v>608</v>
      </c>
      <c r="K141" s="8">
        <v>1</v>
      </c>
      <c r="L141" s="8">
        <v>1</v>
      </c>
      <c r="M141" t="str">
        <f t="shared" si="2"/>
        <v>Melamine-U430-Violet-ST9 19 mm</v>
      </c>
      <c r="N141" s="8">
        <v>0</v>
      </c>
      <c r="O141" s="8">
        <v>1</v>
      </c>
      <c r="P141" s="8">
        <v>0</v>
      </c>
      <c r="Q141" s="8" t="s">
        <v>61</v>
      </c>
      <c r="R141" s="8" t="s">
        <v>62</v>
      </c>
      <c r="AB141" t="s">
        <v>609</v>
      </c>
      <c r="AD141" t="s">
        <v>610</v>
      </c>
      <c r="AE141" s="8">
        <v>1</v>
      </c>
      <c r="AF141" s="8">
        <v>0</v>
      </c>
      <c r="AG141" s="8" t="s">
        <v>65</v>
      </c>
      <c r="AH141" s="8">
        <v>1</v>
      </c>
      <c r="AI141" s="8">
        <v>1</v>
      </c>
      <c r="AJ141" s="8">
        <v>1</v>
      </c>
      <c r="AK141" s="8">
        <v>1</v>
      </c>
      <c r="AR141" s="8">
        <v>2790</v>
      </c>
      <c r="AS141" s="8">
        <v>2070</v>
      </c>
      <c r="AT141">
        <v>7787326</v>
      </c>
      <c r="AU141" s="8" t="s">
        <v>66</v>
      </c>
      <c r="AW141" s="8">
        <v>0</v>
      </c>
    </row>
    <row r="142" spans="1:49" x14ac:dyDescent="0.25">
      <c r="A142" t="s">
        <v>611</v>
      </c>
      <c r="B142">
        <v>7786511</v>
      </c>
      <c r="C142" t="s">
        <v>58</v>
      </c>
      <c r="D142">
        <v>19</v>
      </c>
      <c r="E142">
        <v>0</v>
      </c>
      <c r="F142">
        <v>11.83</v>
      </c>
      <c r="G142">
        <v>750</v>
      </c>
      <c r="J142" t="s">
        <v>612</v>
      </c>
      <c r="K142" s="8">
        <v>1</v>
      </c>
      <c r="L142" s="8">
        <v>1</v>
      </c>
      <c r="M142" t="str">
        <f t="shared" si="2"/>
        <v>Melamine-U500-Bleu glacier-ST9 19 mm</v>
      </c>
      <c r="N142" s="8">
        <v>0</v>
      </c>
      <c r="O142" s="8">
        <v>1</v>
      </c>
      <c r="P142" s="8">
        <v>0</v>
      </c>
      <c r="Q142" s="8" t="s">
        <v>61</v>
      </c>
      <c r="R142" s="8" t="s">
        <v>62</v>
      </c>
      <c r="AB142" t="s">
        <v>613</v>
      </c>
      <c r="AD142" t="s">
        <v>614</v>
      </c>
      <c r="AE142" s="8">
        <v>1</v>
      </c>
      <c r="AF142" s="8">
        <v>0</v>
      </c>
      <c r="AG142" s="8" t="s">
        <v>65</v>
      </c>
      <c r="AH142" s="8">
        <v>1</v>
      </c>
      <c r="AI142" s="8">
        <v>1</v>
      </c>
      <c r="AJ142" s="8">
        <v>1</v>
      </c>
      <c r="AK142" s="8">
        <v>1</v>
      </c>
      <c r="AR142" s="8">
        <v>2790</v>
      </c>
      <c r="AS142" s="8">
        <v>2070</v>
      </c>
      <c r="AT142">
        <v>7787327</v>
      </c>
      <c r="AU142" s="8" t="s">
        <v>66</v>
      </c>
      <c r="AW142" s="8">
        <v>0</v>
      </c>
    </row>
    <row r="143" spans="1:49" x14ac:dyDescent="0.25">
      <c r="A143" t="s">
        <v>615</v>
      </c>
      <c r="B143">
        <v>4766359</v>
      </c>
      <c r="C143" t="s">
        <v>58</v>
      </c>
      <c r="D143">
        <v>19</v>
      </c>
      <c r="E143">
        <v>0</v>
      </c>
      <c r="F143">
        <v>15.12</v>
      </c>
      <c r="G143">
        <v>750</v>
      </c>
      <c r="J143" t="s">
        <v>616</v>
      </c>
      <c r="K143" s="8">
        <v>1</v>
      </c>
      <c r="L143" s="8">
        <v>1</v>
      </c>
      <c r="M143" t="str">
        <f t="shared" si="2"/>
        <v>Melamine-U502-Bleu brume-ST9 19 mm</v>
      </c>
      <c r="N143" s="8">
        <v>0</v>
      </c>
      <c r="O143" s="8">
        <v>1</v>
      </c>
      <c r="P143" s="8">
        <v>0</v>
      </c>
      <c r="Q143" s="8" t="s">
        <v>61</v>
      </c>
      <c r="R143" s="8" t="s">
        <v>62</v>
      </c>
      <c r="AB143" t="s">
        <v>617</v>
      </c>
      <c r="AD143" t="s">
        <v>618</v>
      </c>
      <c r="AE143" s="8">
        <v>1</v>
      </c>
      <c r="AF143" s="8">
        <v>0</v>
      </c>
      <c r="AG143" s="8" t="s">
        <v>65</v>
      </c>
      <c r="AH143" s="8">
        <v>1</v>
      </c>
      <c r="AI143" s="8">
        <v>1</v>
      </c>
      <c r="AJ143" s="8">
        <v>1</v>
      </c>
      <c r="AK143" s="8">
        <v>1</v>
      </c>
      <c r="AR143" s="8">
        <v>2790</v>
      </c>
      <c r="AS143" s="8">
        <v>2070</v>
      </c>
      <c r="AT143">
        <v>4766359</v>
      </c>
      <c r="AU143" s="8" t="s">
        <v>66</v>
      </c>
      <c r="AW143" s="8">
        <v>0</v>
      </c>
    </row>
    <row r="144" spans="1:49" x14ac:dyDescent="0.25">
      <c r="A144" t="s">
        <v>619</v>
      </c>
      <c r="B144">
        <v>7786512</v>
      </c>
      <c r="C144" t="s">
        <v>58</v>
      </c>
      <c r="D144">
        <v>19</v>
      </c>
      <c r="E144">
        <v>0</v>
      </c>
      <c r="F144">
        <v>11.45</v>
      </c>
      <c r="G144">
        <v>750</v>
      </c>
      <c r="J144" t="s">
        <v>620</v>
      </c>
      <c r="K144" s="8">
        <v>1</v>
      </c>
      <c r="L144" s="8">
        <v>1</v>
      </c>
      <c r="M144" t="str">
        <f t="shared" si="2"/>
        <v>Melamine-U504-Bleu cosmique-ST9 19 mm</v>
      </c>
      <c r="N144" s="8">
        <v>0</v>
      </c>
      <c r="O144" s="8">
        <v>1</v>
      </c>
      <c r="P144" s="8">
        <v>0</v>
      </c>
      <c r="Q144" s="8" t="s">
        <v>61</v>
      </c>
      <c r="R144" s="8" t="s">
        <v>62</v>
      </c>
      <c r="AB144" t="s">
        <v>621</v>
      </c>
      <c r="AD144" t="s">
        <v>622</v>
      </c>
      <c r="AE144" s="8">
        <v>1</v>
      </c>
      <c r="AF144" s="8">
        <v>0</v>
      </c>
      <c r="AG144" s="8" t="s">
        <v>65</v>
      </c>
      <c r="AH144" s="8">
        <v>1</v>
      </c>
      <c r="AI144" s="8">
        <v>1</v>
      </c>
      <c r="AJ144" s="8">
        <v>1</v>
      </c>
      <c r="AK144" s="8">
        <v>1</v>
      </c>
      <c r="AR144" s="8">
        <v>2790</v>
      </c>
      <c r="AS144" s="8">
        <v>2070</v>
      </c>
      <c r="AT144">
        <v>4250136</v>
      </c>
      <c r="AU144" s="8" t="s">
        <v>66</v>
      </c>
      <c r="AW144" s="8">
        <v>0</v>
      </c>
    </row>
    <row r="145" spans="1:49" x14ac:dyDescent="0.25">
      <c r="A145" t="s">
        <v>623</v>
      </c>
      <c r="B145">
        <v>4766362</v>
      </c>
      <c r="C145" t="s">
        <v>58</v>
      </c>
      <c r="D145">
        <v>19</v>
      </c>
      <c r="E145">
        <v>0</v>
      </c>
      <c r="F145">
        <v>11.83</v>
      </c>
      <c r="G145">
        <v>750</v>
      </c>
      <c r="J145" t="s">
        <v>624</v>
      </c>
      <c r="K145" s="8">
        <v>1</v>
      </c>
      <c r="L145" s="8">
        <v>1</v>
      </c>
      <c r="M145" t="str">
        <f t="shared" si="2"/>
        <v>Melamine-U505-Bleu nordique-ST9 19 mm</v>
      </c>
      <c r="N145" s="8">
        <v>0</v>
      </c>
      <c r="O145" s="8">
        <v>1</v>
      </c>
      <c r="P145" s="8">
        <v>0</v>
      </c>
      <c r="Q145" s="8" t="s">
        <v>61</v>
      </c>
      <c r="R145" s="8" t="s">
        <v>62</v>
      </c>
      <c r="AB145" t="s">
        <v>625</v>
      </c>
      <c r="AD145" t="s">
        <v>626</v>
      </c>
      <c r="AE145" s="8">
        <v>1</v>
      </c>
      <c r="AF145" s="8">
        <v>0</v>
      </c>
      <c r="AG145" s="8" t="s">
        <v>65</v>
      </c>
      <c r="AH145" s="8">
        <v>1</v>
      </c>
      <c r="AI145" s="8">
        <v>1</v>
      </c>
      <c r="AJ145" s="8">
        <v>1</v>
      </c>
      <c r="AK145" s="8">
        <v>1</v>
      </c>
      <c r="AR145" s="8">
        <v>2790</v>
      </c>
      <c r="AS145" s="8">
        <v>2070</v>
      </c>
      <c r="AT145">
        <v>4766361</v>
      </c>
      <c r="AU145" s="8" t="s">
        <v>66</v>
      </c>
      <c r="AW145" s="8">
        <v>0</v>
      </c>
    </row>
    <row r="146" spans="1:49" x14ac:dyDescent="0.25">
      <c r="A146" t="s">
        <v>627</v>
      </c>
      <c r="B146">
        <v>7786515</v>
      </c>
      <c r="C146" t="s">
        <v>58</v>
      </c>
      <c r="D146">
        <v>19</v>
      </c>
      <c r="E146">
        <v>0</v>
      </c>
      <c r="F146">
        <v>11.83</v>
      </c>
      <c r="G146">
        <v>750</v>
      </c>
      <c r="J146" t="s">
        <v>628</v>
      </c>
      <c r="K146" s="8">
        <v>1</v>
      </c>
      <c r="L146" s="8">
        <v>1</v>
      </c>
      <c r="M146" t="str">
        <f t="shared" si="2"/>
        <v>Melamine-U522-Bleu horizon-ST9 19 mm</v>
      </c>
      <c r="N146" s="8">
        <v>0</v>
      </c>
      <c r="O146" s="8">
        <v>1</v>
      </c>
      <c r="P146" s="8">
        <v>0</v>
      </c>
      <c r="Q146" s="8" t="s">
        <v>61</v>
      </c>
      <c r="R146" s="8" t="s">
        <v>62</v>
      </c>
      <c r="AB146" t="s">
        <v>629</v>
      </c>
      <c r="AD146" t="s">
        <v>630</v>
      </c>
      <c r="AE146" s="8">
        <v>1</v>
      </c>
      <c r="AF146" s="8">
        <v>0</v>
      </c>
      <c r="AG146" s="8" t="s">
        <v>65</v>
      </c>
      <c r="AH146" s="8">
        <v>1</v>
      </c>
      <c r="AI146" s="8">
        <v>1</v>
      </c>
      <c r="AJ146" s="8">
        <v>1</v>
      </c>
      <c r="AK146" s="8">
        <v>1</v>
      </c>
      <c r="AR146" s="8">
        <v>2790</v>
      </c>
      <c r="AS146" s="8">
        <v>2070</v>
      </c>
      <c r="AT146">
        <v>7787331</v>
      </c>
      <c r="AU146" s="8" t="s">
        <v>66</v>
      </c>
      <c r="AW146" s="8">
        <v>0</v>
      </c>
    </row>
    <row r="147" spans="1:49" x14ac:dyDescent="0.25">
      <c r="A147" t="s">
        <v>631</v>
      </c>
      <c r="B147">
        <v>7786516</v>
      </c>
      <c r="C147" t="s">
        <v>58</v>
      </c>
      <c r="D147">
        <v>19</v>
      </c>
      <c r="E147">
        <v>0</v>
      </c>
      <c r="F147">
        <v>15.12</v>
      </c>
      <c r="G147">
        <v>750</v>
      </c>
      <c r="J147" t="s">
        <v>632</v>
      </c>
      <c r="K147" s="8">
        <v>1</v>
      </c>
      <c r="L147" s="8">
        <v>1</v>
      </c>
      <c r="M147" t="str">
        <f t="shared" si="2"/>
        <v>Melamine-U525-Bleu de Delft-ST9 19 mm</v>
      </c>
      <c r="N147" s="8">
        <v>0</v>
      </c>
      <c r="O147" s="8">
        <v>1</v>
      </c>
      <c r="P147" s="8">
        <v>0</v>
      </c>
      <c r="Q147" s="8" t="s">
        <v>61</v>
      </c>
      <c r="R147" s="8" t="s">
        <v>62</v>
      </c>
      <c r="AB147" t="s">
        <v>633</v>
      </c>
      <c r="AD147" t="s">
        <v>634</v>
      </c>
      <c r="AE147" s="8">
        <v>1</v>
      </c>
      <c r="AF147" s="8">
        <v>0</v>
      </c>
      <c r="AG147" s="8" t="s">
        <v>65</v>
      </c>
      <c r="AH147" s="8">
        <v>1</v>
      </c>
      <c r="AI147" s="8">
        <v>1</v>
      </c>
      <c r="AJ147" s="8">
        <v>1</v>
      </c>
      <c r="AK147" s="8">
        <v>1</v>
      </c>
      <c r="AR147" s="8">
        <v>2790</v>
      </c>
      <c r="AS147" s="8">
        <v>2070</v>
      </c>
      <c r="AT147">
        <v>7786516</v>
      </c>
      <c r="AU147" s="8" t="s">
        <v>66</v>
      </c>
      <c r="AW147" s="8">
        <v>0</v>
      </c>
    </row>
    <row r="148" spans="1:49" x14ac:dyDescent="0.25">
      <c r="A148" t="s">
        <v>635</v>
      </c>
      <c r="B148">
        <v>7786518</v>
      </c>
      <c r="C148" t="s">
        <v>58</v>
      </c>
      <c r="D148">
        <v>19</v>
      </c>
      <c r="E148">
        <v>0</v>
      </c>
      <c r="F148">
        <v>11.45</v>
      </c>
      <c r="G148">
        <v>750</v>
      </c>
      <c r="J148" t="s">
        <v>636</v>
      </c>
      <c r="K148" s="8">
        <v>1</v>
      </c>
      <c r="L148" s="8">
        <v>1</v>
      </c>
      <c r="M148" t="str">
        <f t="shared" si="2"/>
        <v>Melamine-U540-Bleu denim-ST9 19 mm</v>
      </c>
      <c r="N148" s="8">
        <v>0</v>
      </c>
      <c r="O148" s="8">
        <v>1</v>
      </c>
      <c r="P148" s="8">
        <v>0</v>
      </c>
      <c r="Q148" s="8" t="s">
        <v>61</v>
      </c>
      <c r="R148" s="8" t="s">
        <v>62</v>
      </c>
      <c r="AB148" t="s">
        <v>637</v>
      </c>
      <c r="AD148" t="s">
        <v>638</v>
      </c>
      <c r="AE148" s="8">
        <v>1</v>
      </c>
      <c r="AF148" s="8">
        <v>0</v>
      </c>
      <c r="AG148" s="8" t="s">
        <v>65</v>
      </c>
      <c r="AH148" s="8">
        <v>1</v>
      </c>
      <c r="AI148" s="8">
        <v>1</v>
      </c>
      <c r="AJ148" s="8">
        <v>1</v>
      </c>
      <c r="AK148" s="8">
        <v>1</v>
      </c>
      <c r="AR148" s="8">
        <v>2790</v>
      </c>
      <c r="AS148" s="8">
        <v>2070</v>
      </c>
      <c r="AT148">
        <v>7787334</v>
      </c>
      <c r="AU148" s="8" t="s">
        <v>66</v>
      </c>
      <c r="AW148" s="8">
        <v>0</v>
      </c>
    </row>
    <row r="149" spans="1:49" x14ac:dyDescent="0.25">
      <c r="A149" t="s">
        <v>639</v>
      </c>
      <c r="B149">
        <v>4766365</v>
      </c>
      <c r="C149" t="s">
        <v>58</v>
      </c>
      <c r="D149">
        <v>19</v>
      </c>
      <c r="E149">
        <v>0</v>
      </c>
      <c r="F149">
        <v>11.83</v>
      </c>
      <c r="G149">
        <v>750</v>
      </c>
      <c r="J149" t="s">
        <v>640</v>
      </c>
      <c r="K149" s="8">
        <v>1</v>
      </c>
      <c r="L149" s="8">
        <v>1</v>
      </c>
      <c r="M149" t="str">
        <f t="shared" si="2"/>
        <v>Melamine-U545-Bleu baltique-ST9 19 mm</v>
      </c>
      <c r="N149" s="8">
        <v>0</v>
      </c>
      <c r="O149" s="8">
        <v>1</v>
      </c>
      <c r="P149" s="8">
        <v>0</v>
      </c>
      <c r="Q149" s="8" t="s">
        <v>61</v>
      </c>
      <c r="R149" s="8" t="s">
        <v>62</v>
      </c>
      <c r="AB149" t="s">
        <v>641</v>
      </c>
      <c r="AD149" t="s">
        <v>642</v>
      </c>
      <c r="AE149" s="8">
        <v>1</v>
      </c>
      <c r="AF149" s="8">
        <v>0</v>
      </c>
      <c r="AG149" s="8" t="s">
        <v>65</v>
      </c>
      <c r="AH149" s="8">
        <v>1</v>
      </c>
      <c r="AI149" s="8">
        <v>1</v>
      </c>
      <c r="AJ149" s="8">
        <v>1</v>
      </c>
      <c r="AK149" s="8">
        <v>1</v>
      </c>
      <c r="AR149" s="8">
        <v>2790</v>
      </c>
      <c r="AS149" s="8">
        <v>2070</v>
      </c>
      <c r="AT149">
        <v>4766364</v>
      </c>
      <c r="AU149" s="8" t="s">
        <v>66</v>
      </c>
      <c r="AW149" s="8">
        <v>0</v>
      </c>
    </row>
    <row r="150" spans="1:49" x14ac:dyDescent="0.25">
      <c r="A150" t="s">
        <v>643</v>
      </c>
      <c r="B150">
        <v>7786519</v>
      </c>
      <c r="C150" t="s">
        <v>58</v>
      </c>
      <c r="D150">
        <v>19</v>
      </c>
      <c r="E150">
        <v>0</v>
      </c>
      <c r="F150">
        <v>11.45</v>
      </c>
      <c r="G150">
        <v>750</v>
      </c>
      <c r="J150" t="s">
        <v>644</v>
      </c>
      <c r="K150" s="8">
        <v>1</v>
      </c>
      <c r="L150" s="8">
        <v>1</v>
      </c>
      <c r="M150" t="str">
        <f t="shared" si="2"/>
        <v>Melamine-U560-Bleu outremer-ST9 19 mm</v>
      </c>
      <c r="N150" s="8">
        <v>0</v>
      </c>
      <c r="O150" s="8">
        <v>1</v>
      </c>
      <c r="P150" s="8">
        <v>0</v>
      </c>
      <c r="Q150" s="8" t="s">
        <v>61</v>
      </c>
      <c r="R150" s="8" t="s">
        <v>62</v>
      </c>
      <c r="AB150" t="s">
        <v>645</v>
      </c>
      <c r="AD150" t="s">
        <v>646</v>
      </c>
      <c r="AE150" s="8">
        <v>1</v>
      </c>
      <c r="AF150" s="8">
        <v>0</v>
      </c>
      <c r="AG150" s="8" t="s">
        <v>65</v>
      </c>
      <c r="AH150" s="8">
        <v>1</v>
      </c>
      <c r="AI150" s="8">
        <v>1</v>
      </c>
      <c r="AJ150" s="8">
        <v>1</v>
      </c>
      <c r="AK150" s="8">
        <v>1</v>
      </c>
      <c r="AR150" s="8">
        <v>2790</v>
      </c>
      <c r="AS150" s="8">
        <v>2070</v>
      </c>
      <c r="AT150">
        <v>7787335</v>
      </c>
      <c r="AU150" s="8" t="s">
        <v>66</v>
      </c>
      <c r="AW150" s="8">
        <v>0</v>
      </c>
    </row>
    <row r="151" spans="1:49" x14ac:dyDescent="0.25">
      <c r="A151" t="s">
        <v>647</v>
      </c>
      <c r="B151">
        <v>4766368</v>
      </c>
      <c r="C151" t="s">
        <v>58</v>
      </c>
      <c r="D151">
        <v>19</v>
      </c>
      <c r="E151">
        <v>0</v>
      </c>
      <c r="F151">
        <v>15.12</v>
      </c>
      <c r="G151">
        <v>750</v>
      </c>
      <c r="J151" t="s">
        <v>648</v>
      </c>
      <c r="K151" s="8">
        <v>1</v>
      </c>
      <c r="L151" s="8">
        <v>1</v>
      </c>
      <c r="M151" t="str">
        <f t="shared" si="2"/>
        <v>Melamine-U565-Bleu ocean-ST9 19 mm</v>
      </c>
      <c r="N151" s="8">
        <v>0</v>
      </c>
      <c r="O151" s="8">
        <v>1</v>
      </c>
      <c r="P151" s="8">
        <v>0</v>
      </c>
      <c r="Q151" s="8" t="s">
        <v>61</v>
      </c>
      <c r="R151" s="8" t="s">
        <v>62</v>
      </c>
      <c r="AB151" t="s">
        <v>649</v>
      </c>
      <c r="AD151" t="s">
        <v>650</v>
      </c>
      <c r="AE151" s="8">
        <v>1</v>
      </c>
      <c r="AF151" s="8">
        <v>0</v>
      </c>
      <c r="AG151" s="8" t="s">
        <v>65</v>
      </c>
      <c r="AH151" s="8">
        <v>1</v>
      </c>
      <c r="AI151" s="8">
        <v>1</v>
      </c>
      <c r="AJ151" s="8">
        <v>1</v>
      </c>
      <c r="AK151" s="8">
        <v>1</v>
      </c>
      <c r="AR151" s="8">
        <v>2790</v>
      </c>
      <c r="AS151" s="8">
        <v>2070</v>
      </c>
      <c r="AT151">
        <v>4766368</v>
      </c>
      <c r="AU151" s="8" t="s">
        <v>66</v>
      </c>
      <c r="AW151" s="8">
        <v>0</v>
      </c>
    </row>
    <row r="152" spans="1:49" x14ac:dyDescent="0.25">
      <c r="A152" t="s">
        <v>651</v>
      </c>
      <c r="B152">
        <v>7786520</v>
      </c>
      <c r="C152" t="s">
        <v>58</v>
      </c>
      <c r="D152">
        <v>19</v>
      </c>
      <c r="E152">
        <v>0</v>
      </c>
      <c r="F152">
        <v>11.77</v>
      </c>
      <c r="G152">
        <v>750</v>
      </c>
      <c r="J152" t="s">
        <v>652</v>
      </c>
      <c r="K152" s="8">
        <v>1</v>
      </c>
      <c r="L152" s="8">
        <v>1</v>
      </c>
      <c r="M152" t="str">
        <f t="shared" si="2"/>
        <v>Melamine-U570-Bleu nuit-ST9 19 mm</v>
      </c>
      <c r="N152" s="8">
        <v>0</v>
      </c>
      <c r="O152" s="8">
        <v>1</v>
      </c>
      <c r="P152" s="8">
        <v>0</v>
      </c>
      <c r="Q152" s="8" t="s">
        <v>61</v>
      </c>
      <c r="R152" s="8" t="s">
        <v>62</v>
      </c>
      <c r="AB152" t="s">
        <v>653</v>
      </c>
      <c r="AD152" t="s">
        <v>654</v>
      </c>
      <c r="AE152" s="8">
        <v>1</v>
      </c>
      <c r="AF152" s="8">
        <v>0</v>
      </c>
      <c r="AG152" s="8" t="s">
        <v>65</v>
      </c>
      <c r="AH152" s="8">
        <v>1</v>
      </c>
      <c r="AI152" s="8">
        <v>1</v>
      </c>
      <c r="AJ152" s="8">
        <v>1</v>
      </c>
      <c r="AK152" s="8">
        <v>1</v>
      </c>
      <c r="AR152" s="8">
        <v>2790</v>
      </c>
      <c r="AS152" s="8">
        <v>2070</v>
      </c>
      <c r="AT152">
        <v>6664006</v>
      </c>
      <c r="AU152" s="8" t="s">
        <v>66</v>
      </c>
      <c r="AW152" s="8">
        <v>0</v>
      </c>
    </row>
    <row r="153" spans="1:49" x14ac:dyDescent="0.25">
      <c r="A153" t="s">
        <v>655</v>
      </c>
      <c r="B153">
        <v>4766371</v>
      </c>
      <c r="C153" t="s">
        <v>58</v>
      </c>
      <c r="D153">
        <v>19</v>
      </c>
      <c r="E153">
        <v>0</v>
      </c>
      <c r="F153">
        <v>15.12</v>
      </c>
      <c r="G153">
        <v>750</v>
      </c>
      <c r="J153" t="s">
        <v>656</v>
      </c>
      <c r="K153" s="8">
        <v>1</v>
      </c>
      <c r="L153" s="8">
        <v>1</v>
      </c>
      <c r="M153" t="str">
        <f t="shared" si="2"/>
        <v>Melamine-U575-Bleu profond-ST9 19 mm</v>
      </c>
      <c r="N153" s="8">
        <v>0</v>
      </c>
      <c r="O153" s="8">
        <v>1</v>
      </c>
      <c r="P153" s="8">
        <v>0</v>
      </c>
      <c r="Q153" s="8" t="s">
        <v>61</v>
      </c>
      <c r="R153" s="8" t="s">
        <v>62</v>
      </c>
      <c r="AB153" t="s">
        <v>657</v>
      </c>
      <c r="AD153" t="s">
        <v>658</v>
      </c>
      <c r="AE153" s="8">
        <v>1</v>
      </c>
      <c r="AF153" s="8">
        <v>0</v>
      </c>
      <c r="AG153" s="8" t="s">
        <v>65</v>
      </c>
      <c r="AH153" s="8">
        <v>1</v>
      </c>
      <c r="AI153" s="8">
        <v>1</v>
      </c>
      <c r="AJ153" s="8">
        <v>1</v>
      </c>
      <c r="AK153" s="8">
        <v>1</v>
      </c>
      <c r="AR153" s="8">
        <v>2790</v>
      </c>
      <c r="AS153" s="8">
        <v>2070</v>
      </c>
      <c r="AT153">
        <v>4766371</v>
      </c>
      <c r="AU153" s="8" t="s">
        <v>66</v>
      </c>
      <c r="AW153" s="8">
        <v>0</v>
      </c>
    </row>
    <row r="154" spans="1:49" x14ac:dyDescent="0.25">
      <c r="A154" t="s">
        <v>659</v>
      </c>
      <c r="B154">
        <v>7786521</v>
      </c>
      <c r="C154" t="s">
        <v>58</v>
      </c>
      <c r="D154">
        <v>19</v>
      </c>
      <c r="E154">
        <v>0</v>
      </c>
      <c r="F154">
        <v>25.32</v>
      </c>
      <c r="G154">
        <v>750</v>
      </c>
      <c r="J154" t="s">
        <v>660</v>
      </c>
      <c r="K154" s="8">
        <v>1</v>
      </c>
      <c r="L154" s="8">
        <v>1</v>
      </c>
      <c r="M154" t="str">
        <f t="shared" si="2"/>
        <v>Melamine-U599-Bleu indigo-ST9 19 mm</v>
      </c>
      <c r="N154" s="8">
        <v>0</v>
      </c>
      <c r="O154" s="8">
        <v>1</v>
      </c>
      <c r="P154" s="8">
        <v>0</v>
      </c>
      <c r="Q154" s="8" t="s">
        <v>61</v>
      </c>
      <c r="R154" s="8" t="s">
        <v>62</v>
      </c>
      <c r="AB154" t="s">
        <v>661</v>
      </c>
      <c r="AD154" t="s">
        <v>662</v>
      </c>
      <c r="AE154" s="8">
        <v>1</v>
      </c>
      <c r="AF154" s="8">
        <v>0</v>
      </c>
      <c r="AG154" s="8" t="s">
        <v>65</v>
      </c>
      <c r="AH154" s="8">
        <v>1</v>
      </c>
      <c r="AI154" s="8">
        <v>1</v>
      </c>
      <c r="AJ154" s="8">
        <v>1</v>
      </c>
      <c r="AK154" s="8">
        <v>1</v>
      </c>
      <c r="AR154" s="8">
        <v>2790</v>
      </c>
      <c r="AS154" s="8">
        <v>2070</v>
      </c>
      <c r="AT154">
        <v>7789910</v>
      </c>
      <c r="AU154" s="8" t="s">
        <v>66</v>
      </c>
      <c r="AW154" s="8">
        <v>0</v>
      </c>
    </row>
    <row r="155" spans="1:49" x14ac:dyDescent="0.25">
      <c r="A155" t="s">
        <v>663</v>
      </c>
      <c r="B155">
        <v>4766374</v>
      </c>
      <c r="C155" t="s">
        <v>58</v>
      </c>
      <c r="D155">
        <v>19</v>
      </c>
      <c r="E155">
        <v>0</v>
      </c>
      <c r="F155">
        <v>15.12</v>
      </c>
      <c r="G155">
        <v>750</v>
      </c>
      <c r="J155" t="s">
        <v>664</v>
      </c>
      <c r="K155" s="8">
        <v>1</v>
      </c>
      <c r="L155" s="8">
        <v>1</v>
      </c>
      <c r="M155" t="str">
        <f t="shared" si="2"/>
        <v>Melamine-U604-Vert eucalyptus-ST9 19 mm</v>
      </c>
      <c r="N155" s="8">
        <v>0</v>
      </c>
      <c r="O155" s="8">
        <v>1</v>
      </c>
      <c r="P155" s="8">
        <v>0</v>
      </c>
      <c r="Q155" s="8" t="s">
        <v>61</v>
      </c>
      <c r="R155" s="8" t="s">
        <v>62</v>
      </c>
      <c r="AB155" t="s">
        <v>665</v>
      </c>
      <c r="AD155" t="s">
        <v>666</v>
      </c>
      <c r="AE155" s="8">
        <v>1</v>
      </c>
      <c r="AF155" s="8">
        <v>0</v>
      </c>
      <c r="AG155" s="8" t="s">
        <v>65</v>
      </c>
      <c r="AH155" s="8">
        <v>1</v>
      </c>
      <c r="AI155" s="8">
        <v>1</v>
      </c>
      <c r="AJ155" s="8">
        <v>1</v>
      </c>
      <c r="AK155" s="8">
        <v>1</v>
      </c>
      <c r="AR155" s="8">
        <v>2790</v>
      </c>
      <c r="AS155" s="8">
        <v>2070</v>
      </c>
      <c r="AT155">
        <v>4766374</v>
      </c>
      <c r="AU155" s="8" t="s">
        <v>66</v>
      </c>
      <c r="AW155" s="8">
        <v>0</v>
      </c>
    </row>
    <row r="156" spans="1:49" x14ac:dyDescent="0.25">
      <c r="A156" t="s">
        <v>667</v>
      </c>
      <c r="B156">
        <v>4062340</v>
      </c>
      <c r="C156" t="s">
        <v>58</v>
      </c>
      <c r="D156">
        <v>19</v>
      </c>
      <c r="E156">
        <v>0</v>
      </c>
      <c r="F156">
        <v>11.83</v>
      </c>
      <c r="G156">
        <v>750</v>
      </c>
      <c r="J156" t="s">
        <v>668</v>
      </c>
      <c r="K156" s="8">
        <v>1</v>
      </c>
      <c r="L156" s="8">
        <v>1</v>
      </c>
      <c r="M156" t="str">
        <f t="shared" si="2"/>
        <v>Melamine-U606-Vert sapin-ST9 19 mm</v>
      </c>
      <c r="N156" s="8">
        <v>0</v>
      </c>
      <c r="O156" s="8">
        <v>1</v>
      </c>
      <c r="P156" s="8">
        <v>0</v>
      </c>
      <c r="Q156" s="8" t="s">
        <v>61</v>
      </c>
      <c r="R156" s="8" t="s">
        <v>62</v>
      </c>
      <c r="AB156" t="s">
        <v>669</v>
      </c>
      <c r="AD156" t="s">
        <v>670</v>
      </c>
      <c r="AE156" s="8">
        <v>1</v>
      </c>
      <c r="AF156" s="8">
        <v>0</v>
      </c>
      <c r="AG156" s="8" t="s">
        <v>65</v>
      </c>
      <c r="AH156" s="8">
        <v>1</v>
      </c>
      <c r="AI156" s="8">
        <v>1</v>
      </c>
      <c r="AJ156" s="8">
        <v>1</v>
      </c>
      <c r="AK156" s="8">
        <v>1</v>
      </c>
      <c r="AR156" s="8">
        <v>2790</v>
      </c>
      <c r="AS156" s="8">
        <v>2070</v>
      </c>
      <c r="AT156">
        <v>7787339</v>
      </c>
      <c r="AU156" s="8" t="s">
        <v>66</v>
      </c>
      <c r="AW156" s="8">
        <v>0</v>
      </c>
    </row>
    <row r="157" spans="1:49" x14ac:dyDescent="0.25">
      <c r="A157" t="s">
        <v>671</v>
      </c>
      <c r="B157">
        <v>4062341</v>
      </c>
      <c r="C157" t="s">
        <v>58</v>
      </c>
      <c r="D157">
        <v>19</v>
      </c>
      <c r="E157">
        <v>0</v>
      </c>
      <c r="F157">
        <v>11.45</v>
      </c>
      <c r="G157">
        <v>750</v>
      </c>
      <c r="J157" t="s">
        <v>672</v>
      </c>
      <c r="K157" s="8">
        <v>1</v>
      </c>
      <c r="L157" s="8">
        <v>1</v>
      </c>
      <c r="M157" t="str">
        <f t="shared" si="2"/>
        <v>Melamine-U608-Vert opale-ST9 19 mm</v>
      </c>
      <c r="N157" s="8">
        <v>0</v>
      </c>
      <c r="O157" s="8">
        <v>1</v>
      </c>
      <c r="P157" s="8">
        <v>0</v>
      </c>
      <c r="Q157" s="8" t="s">
        <v>61</v>
      </c>
      <c r="R157" s="8" t="s">
        <v>62</v>
      </c>
      <c r="AB157" t="s">
        <v>673</v>
      </c>
      <c r="AD157" t="s">
        <v>674</v>
      </c>
      <c r="AE157" s="8">
        <v>1</v>
      </c>
      <c r="AF157" s="8">
        <v>0</v>
      </c>
      <c r="AG157" s="8" t="s">
        <v>65</v>
      </c>
      <c r="AH157" s="8">
        <v>1</v>
      </c>
      <c r="AI157" s="8">
        <v>1</v>
      </c>
      <c r="AJ157" s="8">
        <v>1</v>
      </c>
      <c r="AK157" s="8">
        <v>1</v>
      </c>
      <c r="AR157" s="8">
        <v>2790</v>
      </c>
      <c r="AS157" s="8">
        <v>2070</v>
      </c>
      <c r="AT157">
        <v>7787340</v>
      </c>
      <c r="AU157" s="8" t="s">
        <v>66</v>
      </c>
      <c r="AW157" s="8">
        <v>0</v>
      </c>
    </row>
    <row r="158" spans="1:49" x14ac:dyDescent="0.25">
      <c r="A158" t="s">
        <v>675</v>
      </c>
      <c r="B158">
        <v>4062343</v>
      </c>
      <c r="C158" t="s">
        <v>58</v>
      </c>
      <c r="D158">
        <v>19</v>
      </c>
      <c r="E158">
        <v>0</v>
      </c>
      <c r="F158">
        <v>11.83</v>
      </c>
      <c r="G158">
        <v>750</v>
      </c>
      <c r="J158" t="s">
        <v>676</v>
      </c>
      <c r="K158" s="8">
        <v>1</v>
      </c>
      <c r="L158" s="8">
        <v>1</v>
      </c>
      <c r="M158" t="str">
        <f t="shared" si="2"/>
        <v>Melamine-U626-Vert kiwi-ST9 19 mm</v>
      </c>
      <c r="N158" s="8">
        <v>0</v>
      </c>
      <c r="O158" s="8">
        <v>1</v>
      </c>
      <c r="P158" s="8">
        <v>0</v>
      </c>
      <c r="Q158" s="8" t="s">
        <v>61</v>
      </c>
      <c r="R158" s="8" t="s">
        <v>62</v>
      </c>
      <c r="AB158" t="s">
        <v>677</v>
      </c>
      <c r="AD158" t="s">
        <v>678</v>
      </c>
      <c r="AE158" s="8">
        <v>1</v>
      </c>
      <c r="AF158" s="8">
        <v>0</v>
      </c>
      <c r="AG158" s="8" t="s">
        <v>65</v>
      </c>
      <c r="AH158" s="8">
        <v>1</v>
      </c>
      <c r="AI158" s="8">
        <v>1</v>
      </c>
      <c r="AJ158" s="8">
        <v>1</v>
      </c>
      <c r="AK158" s="8">
        <v>1</v>
      </c>
      <c r="AR158" s="8">
        <v>2790</v>
      </c>
      <c r="AS158" s="8">
        <v>2070</v>
      </c>
      <c r="AT158">
        <v>7787342</v>
      </c>
      <c r="AU158" s="8" t="s">
        <v>66</v>
      </c>
      <c r="AW158" s="8">
        <v>0</v>
      </c>
    </row>
    <row r="159" spans="1:49" x14ac:dyDescent="0.25">
      <c r="A159" t="s">
        <v>679</v>
      </c>
      <c r="B159">
        <v>4062344</v>
      </c>
      <c r="C159" t="s">
        <v>58</v>
      </c>
      <c r="D159">
        <v>19</v>
      </c>
      <c r="E159">
        <v>0</v>
      </c>
      <c r="F159">
        <v>15.12</v>
      </c>
      <c r="G159">
        <v>750</v>
      </c>
      <c r="J159" t="s">
        <v>680</v>
      </c>
      <c r="K159" s="8">
        <v>1</v>
      </c>
      <c r="L159" s="8">
        <v>1</v>
      </c>
      <c r="M159" t="str">
        <f t="shared" si="2"/>
        <v>Melamine-U630-Vert pomme-ST9 19 mm</v>
      </c>
      <c r="N159" s="8">
        <v>0</v>
      </c>
      <c r="O159" s="8">
        <v>1</v>
      </c>
      <c r="P159" s="8">
        <v>0</v>
      </c>
      <c r="Q159" s="8" t="s">
        <v>61</v>
      </c>
      <c r="R159" s="8" t="s">
        <v>62</v>
      </c>
      <c r="AB159" t="s">
        <v>681</v>
      </c>
      <c r="AD159" t="s">
        <v>682</v>
      </c>
      <c r="AE159" s="8">
        <v>1</v>
      </c>
      <c r="AF159" s="8">
        <v>0</v>
      </c>
      <c r="AG159" s="8" t="s">
        <v>65</v>
      </c>
      <c r="AH159" s="8">
        <v>1</v>
      </c>
      <c r="AI159" s="8">
        <v>1</v>
      </c>
      <c r="AJ159" s="8">
        <v>1</v>
      </c>
      <c r="AK159" s="8">
        <v>1</v>
      </c>
      <c r="AR159" s="8">
        <v>2790</v>
      </c>
      <c r="AS159" s="8">
        <v>2070</v>
      </c>
      <c r="AT159">
        <v>4062344</v>
      </c>
      <c r="AU159" s="8" t="s">
        <v>66</v>
      </c>
      <c r="AW159" s="8">
        <v>0</v>
      </c>
    </row>
    <row r="160" spans="1:49" x14ac:dyDescent="0.25">
      <c r="A160" t="s">
        <v>683</v>
      </c>
      <c r="B160">
        <v>4062345</v>
      </c>
      <c r="C160" t="s">
        <v>58</v>
      </c>
      <c r="D160">
        <v>19</v>
      </c>
      <c r="E160">
        <v>0</v>
      </c>
      <c r="F160">
        <v>15.12</v>
      </c>
      <c r="G160">
        <v>750</v>
      </c>
      <c r="J160" t="s">
        <v>684</v>
      </c>
      <c r="K160" s="8">
        <v>1</v>
      </c>
      <c r="L160" s="8">
        <v>1</v>
      </c>
      <c r="M160" t="str">
        <f t="shared" si="2"/>
        <v>Melamine-U633-Bleu turquoise-ST9 19 mm</v>
      </c>
      <c r="N160" s="8">
        <v>0</v>
      </c>
      <c r="O160" s="8">
        <v>1</v>
      </c>
      <c r="P160" s="8">
        <v>0</v>
      </c>
      <c r="Q160" s="8" t="s">
        <v>61</v>
      </c>
      <c r="R160" s="8" t="s">
        <v>62</v>
      </c>
      <c r="AB160" t="s">
        <v>685</v>
      </c>
      <c r="AD160" t="s">
        <v>686</v>
      </c>
      <c r="AE160" s="8">
        <v>1</v>
      </c>
      <c r="AF160" s="8">
        <v>0</v>
      </c>
      <c r="AG160" s="8" t="s">
        <v>65</v>
      </c>
      <c r="AH160" s="8">
        <v>1</v>
      </c>
      <c r="AI160" s="8">
        <v>1</v>
      </c>
      <c r="AJ160" s="8">
        <v>1</v>
      </c>
      <c r="AK160" s="8">
        <v>1</v>
      </c>
      <c r="AR160" s="8">
        <v>2790</v>
      </c>
      <c r="AS160" s="8">
        <v>2070</v>
      </c>
      <c r="AT160">
        <v>4062345</v>
      </c>
      <c r="AU160" s="8" t="s">
        <v>66</v>
      </c>
      <c r="AW160" s="8">
        <v>0</v>
      </c>
    </row>
    <row r="161" spans="1:49" x14ac:dyDescent="0.25">
      <c r="A161" t="s">
        <v>687</v>
      </c>
      <c r="B161">
        <v>4062346</v>
      </c>
      <c r="C161" t="s">
        <v>58</v>
      </c>
      <c r="D161">
        <v>19</v>
      </c>
      <c r="E161">
        <v>0</v>
      </c>
      <c r="F161">
        <v>15.12</v>
      </c>
      <c r="G161">
        <v>750</v>
      </c>
      <c r="J161" t="s">
        <v>688</v>
      </c>
      <c r="K161" s="8">
        <v>1</v>
      </c>
      <c r="L161" s="8">
        <v>1</v>
      </c>
      <c r="M161" t="str">
        <f t="shared" si="2"/>
        <v>Melamine-U636-Vert fjord-ST9 19 mm</v>
      </c>
      <c r="N161" s="8">
        <v>0</v>
      </c>
      <c r="O161" s="8">
        <v>1</v>
      </c>
      <c r="P161" s="8">
        <v>0</v>
      </c>
      <c r="Q161" s="8" t="s">
        <v>61</v>
      </c>
      <c r="R161" s="8" t="s">
        <v>62</v>
      </c>
      <c r="AB161" t="s">
        <v>689</v>
      </c>
      <c r="AD161" t="s">
        <v>690</v>
      </c>
      <c r="AE161" s="8">
        <v>1</v>
      </c>
      <c r="AF161" s="8">
        <v>0</v>
      </c>
      <c r="AG161" s="8" t="s">
        <v>65</v>
      </c>
      <c r="AH161" s="8">
        <v>1</v>
      </c>
      <c r="AI161" s="8">
        <v>1</v>
      </c>
      <c r="AJ161" s="8">
        <v>1</v>
      </c>
      <c r="AK161" s="8">
        <v>1</v>
      </c>
      <c r="AR161" s="8">
        <v>2790</v>
      </c>
      <c r="AS161" s="8">
        <v>2070</v>
      </c>
      <c r="AT161">
        <v>4062346</v>
      </c>
      <c r="AU161" s="8" t="s">
        <v>66</v>
      </c>
      <c r="AW161" s="8">
        <v>0</v>
      </c>
    </row>
    <row r="162" spans="1:49" x14ac:dyDescent="0.25">
      <c r="A162" t="s">
        <v>691</v>
      </c>
      <c r="B162">
        <v>4766377</v>
      </c>
      <c r="C162" t="s">
        <v>58</v>
      </c>
      <c r="D162">
        <v>19</v>
      </c>
      <c r="E162">
        <v>0</v>
      </c>
      <c r="F162">
        <v>11.45</v>
      </c>
      <c r="G162">
        <v>750</v>
      </c>
      <c r="J162" t="s">
        <v>692</v>
      </c>
      <c r="K162" s="8">
        <v>1</v>
      </c>
      <c r="L162" s="8">
        <v>1</v>
      </c>
      <c r="M162" t="str">
        <f t="shared" si="2"/>
        <v>Melamine-U638-Vert sauge-ST9 19 mm</v>
      </c>
      <c r="N162" s="8">
        <v>0</v>
      </c>
      <c r="O162" s="8">
        <v>1</v>
      </c>
      <c r="P162" s="8">
        <v>0</v>
      </c>
      <c r="Q162" s="8" t="s">
        <v>61</v>
      </c>
      <c r="R162" s="8" t="s">
        <v>62</v>
      </c>
      <c r="AB162" t="s">
        <v>693</v>
      </c>
      <c r="AD162" t="s">
        <v>694</v>
      </c>
      <c r="AE162" s="8">
        <v>1</v>
      </c>
      <c r="AF162" s="8">
        <v>0</v>
      </c>
      <c r="AG162" s="8" t="s">
        <v>65</v>
      </c>
      <c r="AH162" s="8">
        <v>1</v>
      </c>
      <c r="AI162" s="8">
        <v>1</v>
      </c>
      <c r="AJ162" s="8">
        <v>1</v>
      </c>
      <c r="AK162" s="8">
        <v>1</v>
      </c>
      <c r="AR162" s="8">
        <v>2790</v>
      </c>
      <c r="AS162" s="8">
        <v>2070</v>
      </c>
      <c r="AT162">
        <v>4766376</v>
      </c>
      <c r="AU162" s="8" t="s">
        <v>66</v>
      </c>
      <c r="AW162" s="8">
        <v>0</v>
      </c>
    </row>
    <row r="163" spans="1:49" x14ac:dyDescent="0.25">
      <c r="A163" t="s">
        <v>695</v>
      </c>
      <c r="B163">
        <v>4766380</v>
      </c>
      <c r="C163" t="s">
        <v>58</v>
      </c>
      <c r="D163">
        <v>19</v>
      </c>
      <c r="E163">
        <v>0</v>
      </c>
      <c r="F163">
        <v>11.83</v>
      </c>
      <c r="G163">
        <v>750</v>
      </c>
      <c r="J163" t="s">
        <v>696</v>
      </c>
      <c r="K163" s="8">
        <v>1</v>
      </c>
      <c r="L163" s="8">
        <v>1</v>
      </c>
      <c r="M163" t="str">
        <f t="shared" si="2"/>
        <v>Melamine-U640-Vert olive-ST9 19 mm</v>
      </c>
      <c r="N163" s="8">
        <v>0</v>
      </c>
      <c r="O163" s="8">
        <v>1</v>
      </c>
      <c r="P163" s="8">
        <v>0</v>
      </c>
      <c r="Q163" s="8" t="s">
        <v>61</v>
      </c>
      <c r="R163" s="8" t="s">
        <v>62</v>
      </c>
      <c r="AB163" t="s">
        <v>697</v>
      </c>
      <c r="AD163" t="s">
        <v>698</v>
      </c>
      <c r="AE163" s="8">
        <v>1</v>
      </c>
      <c r="AF163" s="8">
        <v>0</v>
      </c>
      <c r="AG163" s="8" t="s">
        <v>65</v>
      </c>
      <c r="AH163" s="8">
        <v>1</v>
      </c>
      <c r="AI163" s="8">
        <v>1</v>
      </c>
      <c r="AJ163" s="8">
        <v>1</v>
      </c>
      <c r="AK163" s="8">
        <v>1</v>
      </c>
      <c r="AR163" s="8">
        <v>2790</v>
      </c>
      <c r="AS163" s="8">
        <v>2070</v>
      </c>
      <c r="AT163">
        <v>4766379</v>
      </c>
      <c r="AU163" s="8" t="s">
        <v>66</v>
      </c>
      <c r="AW163" s="8">
        <v>0</v>
      </c>
    </row>
    <row r="164" spans="1:49" x14ac:dyDescent="0.25">
      <c r="A164" t="s">
        <v>699</v>
      </c>
      <c r="B164">
        <v>4766383</v>
      </c>
      <c r="C164" t="s">
        <v>58</v>
      </c>
      <c r="D164">
        <v>19</v>
      </c>
      <c r="E164">
        <v>0</v>
      </c>
      <c r="F164">
        <v>11.45</v>
      </c>
      <c r="G164">
        <v>750</v>
      </c>
      <c r="J164" t="s">
        <v>700</v>
      </c>
      <c r="K164" s="8">
        <v>1</v>
      </c>
      <c r="L164" s="8">
        <v>1</v>
      </c>
      <c r="M164" t="str">
        <f t="shared" si="2"/>
        <v>Melamine-U645-Vert agave-ST9 19 mm</v>
      </c>
      <c r="N164" s="8">
        <v>0</v>
      </c>
      <c r="O164" s="8">
        <v>1</v>
      </c>
      <c r="P164" s="8">
        <v>0</v>
      </c>
      <c r="Q164" s="8" t="s">
        <v>61</v>
      </c>
      <c r="R164" s="8" t="s">
        <v>62</v>
      </c>
      <c r="AB164" t="s">
        <v>701</v>
      </c>
      <c r="AD164" t="s">
        <v>702</v>
      </c>
      <c r="AE164" s="8">
        <v>1</v>
      </c>
      <c r="AF164" s="8">
        <v>0</v>
      </c>
      <c r="AG164" s="8" t="s">
        <v>65</v>
      </c>
      <c r="AH164" s="8">
        <v>1</v>
      </c>
      <c r="AI164" s="8">
        <v>1</v>
      </c>
      <c r="AJ164" s="8">
        <v>1</v>
      </c>
      <c r="AK164" s="8">
        <v>1</v>
      </c>
      <c r="AR164" s="8">
        <v>2790</v>
      </c>
      <c r="AS164" s="8">
        <v>2070</v>
      </c>
      <c r="AT164">
        <v>4766382</v>
      </c>
      <c r="AU164" s="8" t="s">
        <v>66</v>
      </c>
      <c r="AW164" s="8">
        <v>0</v>
      </c>
    </row>
    <row r="165" spans="1:49" x14ac:dyDescent="0.25">
      <c r="A165" t="s">
        <v>703</v>
      </c>
      <c r="B165">
        <v>4062347</v>
      </c>
      <c r="C165" t="s">
        <v>58</v>
      </c>
      <c r="D165">
        <v>19</v>
      </c>
      <c r="E165">
        <v>0</v>
      </c>
      <c r="F165">
        <v>11.45</v>
      </c>
      <c r="G165">
        <v>750</v>
      </c>
      <c r="J165" t="s">
        <v>704</v>
      </c>
      <c r="K165" s="8">
        <v>1</v>
      </c>
      <c r="L165" s="8">
        <v>1</v>
      </c>
      <c r="M165" t="str">
        <f t="shared" si="2"/>
        <v>Melamine-U646-Vert Niagara-ST9 19 mm</v>
      </c>
      <c r="N165" s="8">
        <v>0</v>
      </c>
      <c r="O165" s="8">
        <v>1</v>
      </c>
      <c r="P165" s="8">
        <v>0</v>
      </c>
      <c r="Q165" s="8" t="s">
        <v>61</v>
      </c>
      <c r="R165" s="8" t="s">
        <v>62</v>
      </c>
      <c r="AB165" t="s">
        <v>705</v>
      </c>
      <c r="AD165" t="s">
        <v>706</v>
      </c>
      <c r="AE165" s="8">
        <v>1</v>
      </c>
      <c r="AF165" s="8">
        <v>0</v>
      </c>
      <c r="AG165" s="8" t="s">
        <v>65</v>
      </c>
      <c r="AH165" s="8">
        <v>1</v>
      </c>
      <c r="AI165" s="8">
        <v>1</v>
      </c>
      <c r="AJ165" s="8">
        <v>1</v>
      </c>
      <c r="AK165" s="8">
        <v>1</v>
      </c>
      <c r="AR165" s="8">
        <v>2790</v>
      </c>
      <c r="AS165" s="8">
        <v>2070</v>
      </c>
      <c r="AT165">
        <v>7787346</v>
      </c>
      <c r="AU165" s="8" t="s">
        <v>66</v>
      </c>
      <c r="AW165" s="8">
        <v>0</v>
      </c>
    </row>
    <row r="166" spans="1:49" x14ac:dyDescent="0.25">
      <c r="A166" t="s">
        <v>707</v>
      </c>
      <c r="B166">
        <v>4766386</v>
      </c>
      <c r="C166" t="s">
        <v>58</v>
      </c>
      <c r="D166">
        <v>19</v>
      </c>
      <c r="E166">
        <v>0</v>
      </c>
      <c r="F166">
        <v>15.12</v>
      </c>
      <c r="G166">
        <v>750</v>
      </c>
      <c r="J166" t="s">
        <v>708</v>
      </c>
      <c r="K166" s="8">
        <v>1</v>
      </c>
      <c r="L166" s="8">
        <v>1</v>
      </c>
      <c r="M166" t="str">
        <f t="shared" si="2"/>
        <v>Melamine-U665-Vert mineral-ST9 19 mm</v>
      </c>
      <c r="N166" s="8">
        <v>0</v>
      </c>
      <c r="O166" s="8">
        <v>1</v>
      </c>
      <c r="P166" s="8">
        <v>0</v>
      </c>
      <c r="Q166" s="8" t="s">
        <v>61</v>
      </c>
      <c r="R166" s="8" t="s">
        <v>62</v>
      </c>
      <c r="AB166" t="s">
        <v>709</v>
      </c>
      <c r="AD166" t="s">
        <v>710</v>
      </c>
      <c r="AE166" s="8">
        <v>1</v>
      </c>
      <c r="AF166" s="8">
        <v>0</v>
      </c>
      <c r="AG166" s="8" t="s">
        <v>65</v>
      </c>
      <c r="AH166" s="8">
        <v>1</v>
      </c>
      <c r="AI166" s="8">
        <v>1</v>
      </c>
      <c r="AJ166" s="8">
        <v>1</v>
      </c>
      <c r="AK166" s="8">
        <v>1</v>
      </c>
      <c r="AR166" s="8">
        <v>2790</v>
      </c>
      <c r="AS166" s="8">
        <v>2070</v>
      </c>
      <c r="AT166">
        <v>4766386</v>
      </c>
      <c r="AU166" s="8" t="s">
        <v>66</v>
      </c>
      <c r="AW166" s="8">
        <v>0</v>
      </c>
    </row>
    <row r="167" spans="1:49" x14ac:dyDescent="0.25">
      <c r="A167" t="s">
        <v>711</v>
      </c>
      <c r="B167">
        <v>4766389</v>
      </c>
      <c r="C167" t="s">
        <v>58</v>
      </c>
      <c r="D167">
        <v>19</v>
      </c>
      <c r="E167">
        <v>0</v>
      </c>
      <c r="F167">
        <v>15.12</v>
      </c>
      <c r="G167">
        <v>750</v>
      </c>
      <c r="J167" t="s">
        <v>712</v>
      </c>
      <c r="K167" s="8">
        <v>1</v>
      </c>
      <c r="L167" s="8">
        <v>1</v>
      </c>
      <c r="M167" t="str">
        <f t="shared" si="2"/>
        <v>Melamine-U699-Vert fonce-ST9 19 mm</v>
      </c>
      <c r="N167" s="8">
        <v>0</v>
      </c>
      <c r="O167" s="8">
        <v>1</v>
      </c>
      <c r="P167" s="8">
        <v>0</v>
      </c>
      <c r="Q167" s="8" t="s">
        <v>61</v>
      </c>
      <c r="R167" s="8" t="s">
        <v>62</v>
      </c>
      <c r="AB167" t="s">
        <v>713</v>
      </c>
      <c r="AD167" t="s">
        <v>714</v>
      </c>
      <c r="AE167" s="8">
        <v>1</v>
      </c>
      <c r="AF167" s="8">
        <v>0</v>
      </c>
      <c r="AG167" s="8" t="s">
        <v>65</v>
      </c>
      <c r="AH167" s="8">
        <v>1</v>
      </c>
      <c r="AI167" s="8">
        <v>1</v>
      </c>
      <c r="AJ167" s="8">
        <v>1</v>
      </c>
      <c r="AK167" s="8">
        <v>1</v>
      </c>
      <c r="AR167" s="8">
        <v>2790</v>
      </c>
      <c r="AS167" s="8">
        <v>2070</v>
      </c>
      <c r="AT167">
        <v>4766389</v>
      </c>
      <c r="AU167" s="8" t="s">
        <v>66</v>
      </c>
      <c r="AW167" s="8">
        <v>0</v>
      </c>
    </row>
    <row r="168" spans="1:49" x14ac:dyDescent="0.25">
      <c r="A168" t="s">
        <v>715</v>
      </c>
      <c r="B168">
        <v>4062351</v>
      </c>
      <c r="C168" t="s">
        <v>58</v>
      </c>
      <c r="D168">
        <v>19</v>
      </c>
      <c r="E168">
        <v>0</v>
      </c>
      <c r="F168">
        <v>40.68</v>
      </c>
      <c r="G168">
        <v>750</v>
      </c>
      <c r="J168" t="s">
        <v>716</v>
      </c>
      <c r="K168" s="8">
        <v>1</v>
      </c>
      <c r="L168" s="8">
        <v>1</v>
      </c>
      <c r="M168" t="str">
        <f t="shared" si="2"/>
        <v>Melamine-U702-Gris cachemire-ST9 19 mm</v>
      </c>
      <c r="N168" s="8">
        <v>0</v>
      </c>
      <c r="O168" s="8">
        <v>1</v>
      </c>
      <c r="P168" s="8">
        <v>0</v>
      </c>
      <c r="Q168" s="8" t="s">
        <v>61</v>
      </c>
      <c r="R168" s="8" t="s">
        <v>62</v>
      </c>
      <c r="AB168" t="s">
        <v>717</v>
      </c>
      <c r="AD168" t="s">
        <v>718</v>
      </c>
      <c r="AE168" s="8">
        <v>1</v>
      </c>
      <c r="AF168" s="8">
        <v>0</v>
      </c>
      <c r="AG168" s="8" t="s">
        <v>65</v>
      </c>
      <c r="AH168" s="8">
        <v>1</v>
      </c>
      <c r="AI168" s="8">
        <v>1</v>
      </c>
      <c r="AJ168" s="8">
        <v>1</v>
      </c>
      <c r="AK168" s="8">
        <v>1</v>
      </c>
      <c r="AR168" s="8">
        <v>2790</v>
      </c>
      <c r="AS168" s="8">
        <v>2070</v>
      </c>
      <c r="AT168">
        <v>7789916</v>
      </c>
      <c r="AU168" s="8" t="s">
        <v>66</v>
      </c>
      <c r="AW168" s="8">
        <v>0</v>
      </c>
    </row>
    <row r="169" spans="1:49" x14ac:dyDescent="0.25">
      <c r="A169" t="s">
        <v>719</v>
      </c>
      <c r="B169">
        <v>4062352</v>
      </c>
      <c r="C169" t="s">
        <v>58</v>
      </c>
      <c r="D169">
        <v>19</v>
      </c>
      <c r="E169">
        <v>0</v>
      </c>
      <c r="F169">
        <v>25.32</v>
      </c>
      <c r="G169">
        <v>750</v>
      </c>
      <c r="J169" t="s">
        <v>720</v>
      </c>
      <c r="K169" s="8">
        <v>1</v>
      </c>
      <c r="L169" s="8">
        <v>1</v>
      </c>
      <c r="M169" t="str">
        <f t="shared" si="2"/>
        <v>Melamine-U705-Gris angora-ST9 19 mm</v>
      </c>
      <c r="N169" s="8">
        <v>0</v>
      </c>
      <c r="O169" s="8">
        <v>1</v>
      </c>
      <c r="P169" s="8">
        <v>0</v>
      </c>
      <c r="Q169" s="8" t="s">
        <v>61</v>
      </c>
      <c r="R169" s="8" t="s">
        <v>62</v>
      </c>
      <c r="AB169" t="s">
        <v>721</v>
      </c>
      <c r="AD169" t="s">
        <v>722</v>
      </c>
      <c r="AE169" s="8">
        <v>1</v>
      </c>
      <c r="AF169" s="8">
        <v>0</v>
      </c>
      <c r="AG169" s="8" t="s">
        <v>65</v>
      </c>
      <c r="AH169" s="8">
        <v>1</v>
      </c>
      <c r="AI169" s="8">
        <v>1</v>
      </c>
      <c r="AJ169" s="8">
        <v>1</v>
      </c>
      <c r="AK169" s="8">
        <v>1</v>
      </c>
      <c r="AR169" s="8">
        <v>2790</v>
      </c>
      <c r="AS169" s="8">
        <v>2070</v>
      </c>
      <c r="AT169">
        <v>4766426</v>
      </c>
      <c r="AU169" s="8" t="s">
        <v>66</v>
      </c>
      <c r="AW169" s="8">
        <v>0</v>
      </c>
    </row>
    <row r="170" spans="1:49" x14ac:dyDescent="0.25">
      <c r="A170" t="s">
        <v>723</v>
      </c>
      <c r="B170">
        <v>4062353</v>
      </c>
      <c r="C170" t="s">
        <v>58</v>
      </c>
      <c r="D170">
        <v>19</v>
      </c>
      <c r="E170">
        <v>0</v>
      </c>
      <c r="F170">
        <v>9.24</v>
      </c>
      <c r="G170">
        <v>750</v>
      </c>
      <c r="J170" t="s">
        <v>724</v>
      </c>
      <c r="K170" s="8">
        <v>1</v>
      </c>
      <c r="L170" s="8">
        <v>1</v>
      </c>
      <c r="M170" t="str">
        <f t="shared" si="2"/>
        <v>Melamine-U707-Soie grise-ST9 19 mm</v>
      </c>
      <c r="N170" s="8">
        <v>0</v>
      </c>
      <c r="O170" s="8">
        <v>1</v>
      </c>
      <c r="P170" s="8">
        <v>0</v>
      </c>
      <c r="Q170" s="8" t="s">
        <v>61</v>
      </c>
      <c r="R170" s="8" t="s">
        <v>62</v>
      </c>
      <c r="AB170" t="s">
        <v>725</v>
      </c>
      <c r="AD170" t="s">
        <v>726</v>
      </c>
      <c r="AE170" s="8">
        <v>1</v>
      </c>
      <c r="AF170" s="8">
        <v>0</v>
      </c>
      <c r="AG170" s="8" t="s">
        <v>65</v>
      </c>
      <c r="AH170" s="8">
        <v>1</v>
      </c>
      <c r="AI170" s="8">
        <v>1</v>
      </c>
      <c r="AJ170" s="8">
        <v>1</v>
      </c>
      <c r="AK170" s="8">
        <v>1</v>
      </c>
      <c r="AR170" s="8">
        <v>2790</v>
      </c>
      <c r="AS170" s="8">
        <v>2070</v>
      </c>
      <c r="AT170">
        <v>4062353</v>
      </c>
      <c r="AU170" s="8" t="s">
        <v>66</v>
      </c>
      <c r="AW170" s="8">
        <v>0</v>
      </c>
    </row>
    <row r="171" spans="1:49" x14ac:dyDescent="0.25">
      <c r="A171" t="s">
        <v>727</v>
      </c>
      <c r="B171">
        <v>4062354</v>
      </c>
      <c r="C171" t="s">
        <v>58</v>
      </c>
      <c r="D171">
        <v>19</v>
      </c>
      <c r="E171">
        <v>0</v>
      </c>
      <c r="F171">
        <v>7.21</v>
      </c>
      <c r="G171">
        <v>750</v>
      </c>
      <c r="J171" t="s">
        <v>728</v>
      </c>
      <c r="K171" s="8">
        <v>1</v>
      </c>
      <c r="L171" s="8">
        <v>1</v>
      </c>
      <c r="M171" t="str">
        <f t="shared" si="2"/>
        <v>Melamine-U708-Gris clair-ST9 19 mm</v>
      </c>
      <c r="N171" s="8">
        <v>0</v>
      </c>
      <c r="O171" s="8">
        <v>1</v>
      </c>
      <c r="P171" s="8">
        <v>0</v>
      </c>
      <c r="Q171" s="8" t="s">
        <v>61</v>
      </c>
      <c r="R171" s="8" t="s">
        <v>62</v>
      </c>
      <c r="AB171" t="s">
        <v>729</v>
      </c>
      <c r="AD171" t="s">
        <v>730</v>
      </c>
      <c r="AE171" s="8">
        <v>1</v>
      </c>
      <c r="AF171" s="8">
        <v>0</v>
      </c>
      <c r="AG171" s="8" t="s">
        <v>65</v>
      </c>
      <c r="AH171" s="8">
        <v>1</v>
      </c>
      <c r="AI171" s="8">
        <v>1</v>
      </c>
      <c r="AJ171" s="8">
        <v>1</v>
      </c>
      <c r="AK171" s="8">
        <v>1</v>
      </c>
      <c r="AR171" s="8">
        <v>2790</v>
      </c>
      <c r="AS171" s="8">
        <v>2070</v>
      </c>
      <c r="AT171">
        <v>7787353</v>
      </c>
      <c r="AU171" s="8" t="s">
        <v>66</v>
      </c>
      <c r="AW171" s="8">
        <v>0</v>
      </c>
    </row>
    <row r="172" spans="1:49" x14ac:dyDescent="0.25">
      <c r="A172" t="s">
        <v>731</v>
      </c>
      <c r="B172">
        <v>4062356</v>
      </c>
      <c r="C172" t="s">
        <v>58</v>
      </c>
      <c r="D172">
        <v>19</v>
      </c>
      <c r="E172">
        <v>0</v>
      </c>
      <c r="F172">
        <v>11.26</v>
      </c>
      <c r="G172">
        <v>750</v>
      </c>
      <c r="J172" t="s">
        <v>732</v>
      </c>
      <c r="K172" s="8">
        <v>1</v>
      </c>
      <c r="L172" s="8">
        <v>1</v>
      </c>
      <c r="M172" t="str">
        <f t="shared" si="2"/>
        <v>Melamine-U727-Gris argile-ST9 19 mm</v>
      </c>
      <c r="N172" s="8">
        <v>0</v>
      </c>
      <c r="O172" s="8">
        <v>1</v>
      </c>
      <c r="P172" s="8">
        <v>0</v>
      </c>
      <c r="Q172" s="8" t="s">
        <v>61</v>
      </c>
      <c r="R172" s="8" t="s">
        <v>62</v>
      </c>
      <c r="AB172" t="s">
        <v>733</v>
      </c>
      <c r="AD172" t="s">
        <v>734</v>
      </c>
      <c r="AE172" s="8">
        <v>1</v>
      </c>
      <c r="AF172" s="8">
        <v>0</v>
      </c>
      <c r="AG172" s="8" t="s">
        <v>65</v>
      </c>
      <c r="AH172" s="8">
        <v>1</v>
      </c>
      <c r="AI172" s="8">
        <v>1</v>
      </c>
      <c r="AJ172" s="8">
        <v>1</v>
      </c>
      <c r="AK172" s="8">
        <v>1</v>
      </c>
      <c r="AR172" s="8">
        <v>2790</v>
      </c>
      <c r="AS172" s="8">
        <v>2070</v>
      </c>
      <c r="AT172">
        <v>4062356</v>
      </c>
      <c r="AU172" s="8" t="s">
        <v>66</v>
      </c>
      <c r="AW172" s="8">
        <v>0</v>
      </c>
    </row>
    <row r="173" spans="1:49" x14ac:dyDescent="0.25">
      <c r="A173" t="s">
        <v>735</v>
      </c>
      <c r="B173">
        <v>4062357</v>
      </c>
      <c r="C173" t="s">
        <v>58</v>
      </c>
      <c r="D173">
        <v>19</v>
      </c>
      <c r="E173">
        <v>0</v>
      </c>
      <c r="F173">
        <v>25.32</v>
      </c>
      <c r="G173">
        <v>750</v>
      </c>
      <c r="J173" t="s">
        <v>736</v>
      </c>
      <c r="K173" s="8">
        <v>1</v>
      </c>
      <c r="L173" s="8">
        <v>1</v>
      </c>
      <c r="M173" t="str">
        <f t="shared" si="2"/>
        <v>Melamine-U732-Gris macadam-ST9 19 mm</v>
      </c>
      <c r="N173" s="8">
        <v>0</v>
      </c>
      <c r="O173" s="8">
        <v>1</v>
      </c>
      <c r="P173" s="8">
        <v>0</v>
      </c>
      <c r="Q173" s="8" t="s">
        <v>61</v>
      </c>
      <c r="R173" s="8" t="s">
        <v>62</v>
      </c>
      <c r="AB173" t="s">
        <v>737</v>
      </c>
      <c r="AD173" t="s">
        <v>738</v>
      </c>
      <c r="AE173" s="8">
        <v>1</v>
      </c>
      <c r="AF173" s="8">
        <v>0</v>
      </c>
      <c r="AG173" s="8" t="s">
        <v>65</v>
      </c>
      <c r="AH173" s="8">
        <v>1</v>
      </c>
      <c r="AI173" s="8">
        <v>1</v>
      </c>
      <c r="AJ173" s="8">
        <v>1</v>
      </c>
      <c r="AK173" s="8">
        <v>1</v>
      </c>
      <c r="AR173" s="8">
        <v>2790</v>
      </c>
      <c r="AS173" s="8">
        <v>2070</v>
      </c>
      <c r="AT173">
        <v>7730832</v>
      </c>
      <c r="AU173" s="8" t="s">
        <v>66</v>
      </c>
      <c r="AW173" s="8">
        <v>0</v>
      </c>
    </row>
    <row r="174" spans="1:49" x14ac:dyDescent="0.25">
      <c r="A174" t="s">
        <v>739</v>
      </c>
      <c r="B174">
        <v>4062358</v>
      </c>
      <c r="C174" t="s">
        <v>58</v>
      </c>
      <c r="D174">
        <v>19</v>
      </c>
      <c r="E174">
        <v>0</v>
      </c>
      <c r="F174">
        <v>14.23</v>
      </c>
      <c r="G174">
        <v>750</v>
      </c>
      <c r="J174" t="s">
        <v>740</v>
      </c>
      <c r="K174" s="8">
        <v>1</v>
      </c>
      <c r="L174" s="8">
        <v>1</v>
      </c>
      <c r="M174" t="str">
        <f t="shared" si="2"/>
        <v>Melamine-U740-Gris argile fonce-ST9 19 mm</v>
      </c>
      <c r="N174" s="8">
        <v>0</v>
      </c>
      <c r="O174" s="8">
        <v>1</v>
      </c>
      <c r="P174" s="8">
        <v>0</v>
      </c>
      <c r="Q174" s="8" t="s">
        <v>61</v>
      </c>
      <c r="R174" s="8" t="s">
        <v>62</v>
      </c>
      <c r="AB174" t="s">
        <v>741</v>
      </c>
      <c r="AD174" t="s">
        <v>742</v>
      </c>
      <c r="AE174" s="8">
        <v>1</v>
      </c>
      <c r="AF174" s="8">
        <v>0</v>
      </c>
      <c r="AG174" s="8" t="s">
        <v>65</v>
      </c>
      <c r="AH174" s="8">
        <v>1</v>
      </c>
      <c r="AI174" s="8">
        <v>1</v>
      </c>
      <c r="AJ174" s="8">
        <v>1</v>
      </c>
      <c r="AK174" s="8">
        <v>1</v>
      </c>
      <c r="AR174" s="8">
        <v>2790</v>
      </c>
      <c r="AS174" s="8">
        <v>2070</v>
      </c>
      <c r="AT174">
        <v>4062358</v>
      </c>
      <c r="AU174" s="8" t="s">
        <v>66</v>
      </c>
      <c r="AW174" s="8">
        <v>0</v>
      </c>
    </row>
    <row r="175" spans="1:49" x14ac:dyDescent="0.25">
      <c r="A175" t="s">
        <v>743</v>
      </c>
      <c r="B175">
        <v>4062359</v>
      </c>
      <c r="C175" t="s">
        <v>58</v>
      </c>
      <c r="D175">
        <v>19</v>
      </c>
      <c r="E175">
        <v>0</v>
      </c>
      <c r="F175">
        <v>11.06</v>
      </c>
      <c r="G175">
        <v>750</v>
      </c>
      <c r="J175" t="s">
        <v>744</v>
      </c>
      <c r="K175" s="8">
        <v>1</v>
      </c>
      <c r="L175" s="8">
        <v>1</v>
      </c>
      <c r="M175" t="str">
        <f t="shared" si="2"/>
        <v>Melamine-U741-Brun taupe-ST9 19 mm</v>
      </c>
      <c r="N175" s="8">
        <v>0</v>
      </c>
      <c r="O175" s="8">
        <v>1</v>
      </c>
      <c r="P175" s="8">
        <v>0</v>
      </c>
      <c r="Q175" s="8" t="s">
        <v>61</v>
      </c>
      <c r="R175" s="8" t="s">
        <v>62</v>
      </c>
      <c r="AB175" t="s">
        <v>745</v>
      </c>
      <c r="AD175" t="s">
        <v>746</v>
      </c>
      <c r="AE175" s="8">
        <v>1</v>
      </c>
      <c r="AF175" s="8">
        <v>0</v>
      </c>
      <c r="AG175" s="8" t="s">
        <v>65</v>
      </c>
      <c r="AH175" s="8">
        <v>1</v>
      </c>
      <c r="AI175" s="8">
        <v>1</v>
      </c>
      <c r="AJ175" s="8">
        <v>1</v>
      </c>
      <c r="AK175" s="8">
        <v>1</v>
      </c>
      <c r="AR175" s="8">
        <v>2790</v>
      </c>
      <c r="AS175" s="8">
        <v>2070</v>
      </c>
      <c r="AT175">
        <v>7787358</v>
      </c>
      <c r="AU175" s="8" t="s">
        <v>66</v>
      </c>
      <c r="AW175" s="8">
        <v>0</v>
      </c>
    </row>
    <row r="176" spans="1:49" x14ac:dyDescent="0.25">
      <c r="A176" t="s">
        <v>747</v>
      </c>
      <c r="B176">
        <v>4062360</v>
      </c>
      <c r="C176" t="s">
        <v>58</v>
      </c>
      <c r="D176">
        <v>19</v>
      </c>
      <c r="E176">
        <v>0</v>
      </c>
      <c r="F176">
        <v>14.23</v>
      </c>
      <c r="G176">
        <v>750</v>
      </c>
      <c r="J176" t="s">
        <v>748</v>
      </c>
      <c r="K176" s="8">
        <v>1</v>
      </c>
      <c r="L176" s="8">
        <v>1</v>
      </c>
      <c r="M176" t="str">
        <f t="shared" si="2"/>
        <v>Melamine-U748-Brun sepia-ST9 19 mm</v>
      </c>
      <c r="N176" s="8">
        <v>0</v>
      </c>
      <c r="O176" s="8">
        <v>1</v>
      </c>
      <c r="P176" s="8">
        <v>0</v>
      </c>
      <c r="Q176" s="8" t="s">
        <v>61</v>
      </c>
      <c r="R176" s="8" t="s">
        <v>62</v>
      </c>
      <c r="AB176" t="s">
        <v>749</v>
      </c>
      <c r="AD176" t="s">
        <v>750</v>
      </c>
      <c r="AE176" s="8">
        <v>1</v>
      </c>
      <c r="AF176" s="8">
        <v>0</v>
      </c>
      <c r="AG176" s="8" t="s">
        <v>65</v>
      </c>
      <c r="AH176" s="8">
        <v>1</v>
      </c>
      <c r="AI176" s="8">
        <v>1</v>
      </c>
      <c r="AJ176" s="8">
        <v>1</v>
      </c>
      <c r="AK176" s="8">
        <v>1</v>
      </c>
      <c r="AR176" s="8">
        <v>2790</v>
      </c>
      <c r="AS176" s="8">
        <v>2070</v>
      </c>
      <c r="AT176">
        <v>4062360</v>
      </c>
      <c r="AU176" s="8" t="s">
        <v>66</v>
      </c>
      <c r="AW176" s="8">
        <v>0</v>
      </c>
    </row>
    <row r="177" spans="1:49" x14ac:dyDescent="0.25">
      <c r="A177" t="s">
        <v>751</v>
      </c>
      <c r="B177">
        <v>4062361</v>
      </c>
      <c r="C177" t="s">
        <v>58</v>
      </c>
      <c r="D177">
        <v>19</v>
      </c>
      <c r="E177">
        <v>0</v>
      </c>
      <c r="F177">
        <v>11.26</v>
      </c>
      <c r="G177">
        <v>750</v>
      </c>
      <c r="J177" t="s">
        <v>752</v>
      </c>
      <c r="K177" s="8">
        <v>1</v>
      </c>
      <c r="L177" s="8">
        <v>1</v>
      </c>
      <c r="M177" t="str">
        <f t="shared" si="2"/>
        <v>Melamine-U750-Gris souris-ST9 19 mm</v>
      </c>
      <c r="N177" s="8">
        <v>0</v>
      </c>
      <c r="O177" s="8">
        <v>1</v>
      </c>
      <c r="P177" s="8">
        <v>0</v>
      </c>
      <c r="Q177" s="8" t="s">
        <v>61</v>
      </c>
      <c r="R177" s="8" t="s">
        <v>62</v>
      </c>
      <c r="AB177" t="s">
        <v>753</v>
      </c>
      <c r="AD177" t="s">
        <v>754</v>
      </c>
      <c r="AE177" s="8">
        <v>1</v>
      </c>
      <c r="AF177" s="8">
        <v>0</v>
      </c>
      <c r="AG177" s="8" t="s">
        <v>65</v>
      </c>
      <c r="AH177" s="8">
        <v>1</v>
      </c>
      <c r="AI177" s="8">
        <v>1</v>
      </c>
      <c r="AJ177" s="8">
        <v>1</v>
      </c>
      <c r="AK177" s="8">
        <v>1</v>
      </c>
      <c r="AR177" s="8">
        <v>2790</v>
      </c>
      <c r="AS177" s="8">
        <v>2070</v>
      </c>
      <c r="AT177">
        <v>4062361</v>
      </c>
      <c r="AU177" s="8" t="s">
        <v>66</v>
      </c>
      <c r="AW177" s="8">
        <v>0</v>
      </c>
    </row>
    <row r="178" spans="1:49" x14ac:dyDescent="0.25">
      <c r="A178" t="s">
        <v>755</v>
      </c>
      <c r="B178">
        <v>4062362</v>
      </c>
      <c r="C178" t="s">
        <v>58</v>
      </c>
      <c r="D178">
        <v>19</v>
      </c>
      <c r="E178">
        <v>0</v>
      </c>
      <c r="F178">
        <v>9.02</v>
      </c>
      <c r="G178">
        <v>750</v>
      </c>
      <c r="J178" t="s">
        <v>756</v>
      </c>
      <c r="K178" s="8">
        <v>1</v>
      </c>
      <c r="L178" s="8">
        <v>1</v>
      </c>
      <c r="M178" t="str">
        <f t="shared" si="2"/>
        <v>Melamine-U763-Gris perle-ST9 19 mm</v>
      </c>
      <c r="N178" s="8">
        <v>0</v>
      </c>
      <c r="O178" s="8">
        <v>1</v>
      </c>
      <c r="P178" s="8">
        <v>0</v>
      </c>
      <c r="Q178" s="8" t="s">
        <v>61</v>
      </c>
      <c r="R178" s="8" t="s">
        <v>62</v>
      </c>
      <c r="AB178" t="s">
        <v>757</v>
      </c>
      <c r="AD178" t="s">
        <v>758</v>
      </c>
      <c r="AE178" s="8">
        <v>1</v>
      </c>
      <c r="AF178" s="8">
        <v>0</v>
      </c>
      <c r="AG178" s="8" t="s">
        <v>65</v>
      </c>
      <c r="AH178" s="8">
        <v>1</v>
      </c>
      <c r="AI178" s="8">
        <v>1</v>
      </c>
      <c r="AJ178" s="8">
        <v>1</v>
      </c>
      <c r="AK178" s="8">
        <v>1</v>
      </c>
      <c r="AR178" s="8">
        <v>2790</v>
      </c>
      <c r="AS178" s="8">
        <v>2070</v>
      </c>
      <c r="AT178">
        <v>7787361</v>
      </c>
      <c r="AU178" s="8" t="s">
        <v>66</v>
      </c>
      <c r="AW178" s="8">
        <v>0</v>
      </c>
    </row>
    <row r="179" spans="1:49" x14ac:dyDescent="0.25">
      <c r="A179" t="s">
        <v>759</v>
      </c>
      <c r="B179">
        <v>4062363</v>
      </c>
      <c r="C179" t="s">
        <v>58</v>
      </c>
      <c r="D179">
        <v>19</v>
      </c>
      <c r="E179">
        <v>0</v>
      </c>
      <c r="F179">
        <v>25.32</v>
      </c>
      <c r="G179">
        <v>750</v>
      </c>
      <c r="J179" t="s">
        <v>760</v>
      </c>
      <c r="K179" s="8">
        <v>1</v>
      </c>
      <c r="L179" s="8">
        <v>1</v>
      </c>
      <c r="M179" t="str">
        <f t="shared" si="2"/>
        <v>Melamine-U767-Gris cubanite-ST9 19 mm</v>
      </c>
      <c r="N179" s="8">
        <v>0</v>
      </c>
      <c r="O179" s="8">
        <v>1</v>
      </c>
      <c r="P179" s="8">
        <v>0</v>
      </c>
      <c r="Q179" s="8" t="s">
        <v>61</v>
      </c>
      <c r="R179" s="8" t="s">
        <v>62</v>
      </c>
      <c r="AB179" t="s">
        <v>761</v>
      </c>
      <c r="AD179" t="s">
        <v>762</v>
      </c>
      <c r="AE179" s="8">
        <v>1</v>
      </c>
      <c r="AF179" s="8">
        <v>0</v>
      </c>
      <c r="AG179" s="8" t="s">
        <v>65</v>
      </c>
      <c r="AH179" s="8">
        <v>1</v>
      </c>
      <c r="AI179" s="8">
        <v>1</v>
      </c>
      <c r="AJ179" s="8">
        <v>1</v>
      </c>
      <c r="AK179" s="8">
        <v>1</v>
      </c>
      <c r="AR179" s="8">
        <v>2790</v>
      </c>
      <c r="AS179" s="8">
        <v>2070</v>
      </c>
      <c r="AT179">
        <v>4766430</v>
      </c>
      <c r="AU179" s="8" t="s">
        <v>66</v>
      </c>
      <c r="AW179" s="8">
        <v>0</v>
      </c>
    </row>
    <row r="180" spans="1:49" x14ac:dyDescent="0.25">
      <c r="A180" t="s">
        <v>763</v>
      </c>
      <c r="B180">
        <v>4062364</v>
      </c>
      <c r="C180" t="s">
        <v>58</v>
      </c>
      <c r="D180">
        <v>19</v>
      </c>
      <c r="E180">
        <v>0</v>
      </c>
      <c r="F180">
        <v>11.26</v>
      </c>
      <c r="G180">
        <v>750</v>
      </c>
      <c r="J180" t="s">
        <v>764</v>
      </c>
      <c r="K180" s="8">
        <v>1</v>
      </c>
      <c r="L180" s="8">
        <v>1</v>
      </c>
      <c r="M180" t="str">
        <f t="shared" si="2"/>
        <v>Melamine-U775-Gris brume-ST9 19 mm</v>
      </c>
      <c r="N180" s="8">
        <v>0</v>
      </c>
      <c r="O180" s="8">
        <v>1</v>
      </c>
      <c r="P180" s="8">
        <v>0</v>
      </c>
      <c r="Q180" s="8" t="s">
        <v>61</v>
      </c>
      <c r="R180" s="8" t="s">
        <v>62</v>
      </c>
      <c r="AB180" t="s">
        <v>765</v>
      </c>
      <c r="AD180" t="s">
        <v>766</v>
      </c>
      <c r="AE180" s="8">
        <v>1</v>
      </c>
      <c r="AF180" s="8">
        <v>0</v>
      </c>
      <c r="AG180" s="8" t="s">
        <v>65</v>
      </c>
      <c r="AH180" s="8">
        <v>1</v>
      </c>
      <c r="AI180" s="8">
        <v>1</v>
      </c>
      <c r="AJ180" s="8">
        <v>1</v>
      </c>
      <c r="AK180" s="8">
        <v>1</v>
      </c>
      <c r="AR180" s="8">
        <v>2790</v>
      </c>
      <c r="AS180" s="8">
        <v>2070</v>
      </c>
      <c r="AT180">
        <v>4062364</v>
      </c>
      <c r="AU180" s="8" t="s">
        <v>66</v>
      </c>
      <c r="AW180" s="8">
        <v>0</v>
      </c>
    </row>
    <row r="181" spans="1:49" x14ac:dyDescent="0.25">
      <c r="A181" t="s">
        <v>767</v>
      </c>
      <c r="B181">
        <v>4062365</v>
      </c>
      <c r="C181" t="s">
        <v>58</v>
      </c>
      <c r="D181">
        <v>19</v>
      </c>
      <c r="E181">
        <v>0</v>
      </c>
      <c r="F181">
        <v>11.06</v>
      </c>
      <c r="G181">
        <v>750</v>
      </c>
      <c r="J181" t="s">
        <v>768</v>
      </c>
      <c r="K181" s="8">
        <v>1</v>
      </c>
      <c r="L181" s="8">
        <v>1</v>
      </c>
      <c r="M181" t="str">
        <f t="shared" si="2"/>
        <v>Melamine-U780-Gris celadon-ST9 19 mm</v>
      </c>
      <c r="N181" s="8">
        <v>0</v>
      </c>
      <c r="O181" s="8">
        <v>1</v>
      </c>
      <c r="P181" s="8">
        <v>0</v>
      </c>
      <c r="Q181" s="8" t="s">
        <v>61</v>
      </c>
      <c r="R181" s="8" t="s">
        <v>62</v>
      </c>
      <c r="AB181" t="s">
        <v>769</v>
      </c>
      <c r="AD181" t="s">
        <v>770</v>
      </c>
      <c r="AE181" s="8">
        <v>1</v>
      </c>
      <c r="AF181" s="8">
        <v>0</v>
      </c>
      <c r="AG181" s="8" t="s">
        <v>65</v>
      </c>
      <c r="AH181" s="8">
        <v>1</v>
      </c>
      <c r="AI181" s="8">
        <v>1</v>
      </c>
      <c r="AJ181" s="8">
        <v>1</v>
      </c>
      <c r="AK181" s="8">
        <v>1</v>
      </c>
      <c r="AR181" s="8">
        <v>2790</v>
      </c>
      <c r="AS181" s="8">
        <v>2070</v>
      </c>
      <c r="AT181">
        <v>7787364</v>
      </c>
      <c r="AU181" s="8" t="s">
        <v>66</v>
      </c>
      <c r="AW181" s="8">
        <v>0</v>
      </c>
    </row>
    <row r="182" spans="1:49" x14ac:dyDescent="0.25">
      <c r="A182" t="s">
        <v>771</v>
      </c>
      <c r="B182">
        <v>4062366</v>
      </c>
      <c r="C182" t="s">
        <v>58</v>
      </c>
      <c r="D182">
        <v>19</v>
      </c>
      <c r="E182">
        <v>0</v>
      </c>
      <c r="F182">
        <v>14.23</v>
      </c>
      <c r="G182">
        <v>750</v>
      </c>
      <c r="J182" t="s">
        <v>772</v>
      </c>
      <c r="K182" s="8">
        <v>1</v>
      </c>
      <c r="L182" s="8">
        <v>1</v>
      </c>
      <c r="M182" t="str">
        <f t="shared" si="2"/>
        <v>Melamine-U788-Gris arctique-ST9 19 mm</v>
      </c>
      <c r="N182" s="8">
        <v>0</v>
      </c>
      <c r="O182" s="8">
        <v>1</v>
      </c>
      <c r="P182" s="8">
        <v>0</v>
      </c>
      <c r="Q182" s="8" t="s">
        <v>61</v>
      </c>
      <c r="R182" s="8" t="s">
        <v>62</v>
      </c>
      <c r="AB182" t="s">
        <v>773</v>
      </c>
      <c r="AD182" t="s">
        <v>774</v>
      </c>
      <c r="AE182" s="8">
        <v>1</v>
      </c>
      <c r="AF182" s="8">
        <v>0</v>
      </c>
      <c r="AG182" s="8" t="s">
        <v>65</v>
      </c>
      <c r="AH182" s="8">
        <v>1</v>
      </c>
      <c r="AI182" s="8">
        <v>1</v>
      </c>
      <c r="AJ182" s="8">
        <v>1</v>
      </c>
      <c r="AK182" s="8">
        <v>1</v>
      </c>
      <c r="AR182" s="8">
        <v>2790</v>
      </c>
      <c r="AS182" s="8">
        <v>2070</v>
      </c>
      <c r="AT182">
        <v>4062366</v>
      </c>
      <c r="AU182" s="8" t="s">
        <v>66</v>
      </c>
      <c r="AW182" s="8">
        <v>0</v>
      </c>
    </row>
    <row r="183" spans="1:49" x14ac:dyDescent="0.25">
      <c r="A183" t="s">
        <v>775</v>
      </c>
      <c r="B183">
        <v>4062368</v>
      </c>
      <c r="C183" t="s">
        <v>58</v>
      </c>
      <c r="D183">
        <v>19</v>
      </c>
      <c r="E183">
        <v>0</v>
      </c>
      <c r="F183">
        <v>15.12</v>
      </c>
      <c r="G183">
        <v>750</v>
      </c>
      <c r="J183" t="s">
        <v>776</v>
      </c>
      <c r="K183" s="8">
        <v>1</v>
      </c>
      <c r="L183" s="8">
        <v>1</v>
      </c>
      <c r="M183" t="str">
        <f t="shared" si="2"/>
        <v>Melamine-U818-Marron fonce-ST9 19 mm</v>
      </c>
      <c r="N183" s="8">
        <v>0</v>
      </c>
      <c r="O183" s="8">
        <v>1</v>
      </c>
      <c r="P183" s="8">
        <v>0</v>
      </c>
      <c r="Q183" s="8" t="s">
        <v>61</v>
      </c>
      <c r="R183" s="8" t="s">
        <v>62</v>
      </c>
      <c r="AB183" t="s">
        <v>777</v>
      </c>
      <c r="AD183" t="s">
        <v>778</v>
      </c>
      <c r="AE183" s="8">
        <v>1</v>
      </c>
      <c r="AF183" s="8">
        <v>0</v>
      </c>
      <c r="AG183" s="8" t="s">
        <v>65</v>
      </c>
      <c r="AH183" s="8">
        <v>1</v>
      </c>
      <c r="AI183" s="8">
        <v>1</v>
      </c>
      <c r="AJ183" s="8">
        <v>1</v>
      </c>
      <c r="AK183" s="8">
        <v>1</v>
      </c>
      <c r="AR183" s="8">
        <v>2790</v>
      </c>
      <c r="AS183" s="8">
        <v>2070</v>
      </c>
      <c r="AT183">
        <v>4062368</v>
      </c>
      <c r="AU183" s="8" t="s">
        <v>66</v>
      </c>
      <c r="AW183" s="8">
        <v>0</v>
      </c>
    </row>
    <row r="184" spans="1:49" x14ac:dyDescent="0.25">
      <c r="A184" t="s">
        <v>779</v>
      </c>
      <c r="B184">
        <v>4062369</v>
      </c>
      <c r="C184" t="s">
        <v>58</v>
      </c>
      <c r="D184">
        <v>19</v>
      </c>
      <c r="E184">
        <v>0</v>
      </c>
      <c r="F184">
        <v>40.729999999999997</v>
      </c>
      <c r="G184">
        <v>750</v>
      </c>
      <c r="J184" t="s">
        <v>780</v>
      </c>
      <c r="K184" s="8">
        <v>1</v>
      </c>
      <c r="L184" s="8">
        <v>1</v>
      </c>
      <c r="M184" t="str">
        <f t="shared" si="2"/>
        <v>Melamine-U830-Nude terracotta-ST9 19 mm</v>
      </c>
      <c r="N184" s="8">
        <v>0</v>
      </c>
      <c r="O184" s="8">
        <v>1</v>
      </c>
      <c r="P184" s="8">
        <v>0</v>
      </c>
      <c r="Q184" s="8" t="s">
        <v>61</v>
      </c>
      <c r="R184" s="8" t="s">
        <v>62</v>
      </c>
      <c r="AB184" t="s">
        <v>781</v>
      </c>
      <c r="AD184" t="s">
        <v>782</v>
      </c>
      <c r="AE184" s="8">
        <v>1</v>
      </c>
      <c r="AF184" s="8">
        <v>0</v>
      </c>
      <c r="AG184" s="8" t="s">
        <v>65</v>
      </c>
      <c r="AH184" s="8">
        <v>1</v>
      </c>
      <c r="AI184" s="8">
        <v>1</v>
      </c>
      <c r="AJ184" s="8">
        <v>1</v>
      </c>
      <c r="AK184" s="8">
        <v>1</v>
      </c>
      <c r="AR184" s="8">
        <v>2790</v>
      </c>
      <c r="AS184" s="8">
        <v>2070</v>
      </c>
      <c r="AT184">
        <v>4871500</v>
      </c>
      <c r="AU184" s="8" t="s">
        <v>66</v>
      </c>
      <c r="AW184" s="8">
        <v>0</v>
      </c>
    </row>
    <row r="185" spans="1:49" x14ac:dyDescent="0.25">
      <c r="A185" t="s">
        <v>783</v>
      </c>
      <c r="B185">
        <v>4062370</v>
      </c>
      <c r="C185" t="s">
        <v>58</v>
      </c>
      <c r="D185">
        <v>19</v>
      </c>
      <c r="E185">
        <v>0</v>
      </c>
      <c r="F185">
        <v>9.02</v>
      </c>
      <c r="G185">
        <v>750</v>
      </c>
      <c r="J185" t="s">
        <v>784</v>
      </c>
      <c r="K185" s="8">
        <v>1</v>
      </c>
      <c r="L185" s="8">
        <v>1</v>
      </c>
      <c r="M185" t="str">
        <f t="shared" si="2"/>
        <v>Melamine-U899-Soft Black-ST9 19 mm</v>
      </c>
      <c r="N185" s="8">
        <v>0</v>
      </c>
      <c r="O185" s="8">
        <v>1</v>
      </c>
      <c r="P185" s="8">
        <v>0</v>
      </c>
      <c r="Q185" s="8" t="s">
        <v>61</v>
      </c>
      <c r="R185" s="8" t="s">
        <v>62</v>
      </c>
      <c r="AB185" t="s">
        <v>785</v>
      </c>
      <c r="AD185" t="s">
        <v>786</v>
      </c>
      <c r="AE185" s="8">
        <v>1</v>
      </c>
      <c r="AF185" s="8">
        <v>0</v>
      </c>
      <c r="AG185" s="8" t="s">
        <v>65</v>
      </c>
      <c r="AH185" s="8">
        <v>1</v>
      </c>
      <c r="AI185" s="8">
        <v>1</v>
      </c>
      <c r="AJ185" s="8">
        <v>1</v>
      </c>
      <c r="AK185" s="8">
        <v>1</v>
      </c>
      <c r="AR185" s="8">
        <v>2790</v>
      </c>
      <c r="AS185" s="8">
        <v>2070</v>
      </c>
      <c r="AT185">
        <v>6016749</v>
      </c>
      <c r="AU185" s="8" t="s">
        <v>66</v>
      </c>
      <c r="AW185" s="8">
        <v>0</v>
      </c>
    </row>
    <row r="186" spans="1:49" x14ac:dyDescent="0.25">
      <c r="A186" t="s">
        <v>787</v>
      </c>
      <c r="B186">
        <v>4062371</v>
      </c>
      <c r="C186" t="s">
        <v>58</v>
      </c>
      <c r="D186">
        <v>19</v>
      </c>
      <c r="E186">
        <v>0</v>
      </c>
      <c r="F186">
        <v>14.23</v>
      </c>
      <c r="G186">
        <v>750</v>
      </c>
      <c r="J186" t="s">
        <v>788</v>
      </c>
      <c r="K186" s="8">
        <v>1</v>
      </c>
      <c r="L186" s="8">
        <v>1</v>
      </c>
      <c r="M186" t="str">
        <f t="shared" si="2"/>
        <v>Melamine-U960-Gris onyx-ST9 19 mm</v>
      </c>
      <c r="N186" s="8">
        <v>0</v>
      </c>
      <c r="O186" s="8">
        <v>1</v>
      </c>
      <c r="P186" s="8">
        <v>0</v>
      </c>
      <c r="Q186" s="8" t="s">
        <v>61</v>
      </c>
      <c r="R186" s="8" t="s">
        <v>62</v>
      </c>
      <c r="AB186" t="s">
        <v>789</v>
      </c>
      <c r="AD186" t="s">
        <v>790</v>
      </c>
      <c r="AE186" s="8">
        <v>1</v>
      </c>
      <c r="AF186" s="8">
        <v>0</v>
      </c>
      <c r="AG186" s="8" t="s">
        <v>65</v>
      </c>
      <c r="AH186" s="8">
        <v>1</v>
      </c>
      <c r="AI186" s="8">
        <v>1</v>
      </c>
      <c r="AJ186" s="8">
        <v>1</v>
      </c>
      <c r="AK186" s="8">
        <v>1</v>
      </c>
      <c r="AR186" s="8">
        <v>2790</v>
      </c>
      <c r="AS186" s="8">
        <v>2070</v>
      </c>
      <c r="AT186">
        <v>4062371</v>
      </c>
      <c r="AU186" s="8" t="s">
        <v>66</v>
      </c>
      <c r="AW186" s="8">
        <v>0</v>
      </c>
    </row>
    <row r="187" spans="1:49" x14ac:dyDescent="0.25">
      <c r="A187" t="s">
        <v>791</v>
      </c>
      <c r="B187">
        <v>4751119</v>
      </c>
      <c r="C187" t="s">
        <v>58</v>
      </c>
      <c r="D187">
        <v>19</v>
      </c>
      <c r="E187">
        <v>0</v>
      </c>
      <c r="F187">
        <v>30.73</v>
      </c>
      <c r="G187">
        <v>750</v>
      </c>
      <c r="J187" t="s">
        <v>792</v>
      </c>
      <c r="K187" s="8">
        <v>1</v>
      </c>
      <c r="L187" s="8">
        <v>1</v>
      </c>
      <c r="M187" t="str">
        <f t="shared" si="2"/>
        <v>Melamine-U961-Gris graphite-ST7 19 mm</v>
      </c>
      <c r="N187" s="8">
        <v>0</v>
      </c>
      <c r="O187" s="8">
        <v>1</v>
      </c>
      <c r="P187" s="8">
        <v>0</v>
      </c>
      <c r="Q187" s="8" t="s">
        <v>61</v>
      </c>
      <c r="R187" s="8" t="s">
        <v>62</v>
      </c>
      <c r="AB187" t="s">
        <v>793</v>
      </c>
      <c r="AD187" t="s">
        <v>794</v>
      </c>
      <c r="AE187" s="8">
        <v>1</v>
      </c>
      <c r="AF187" s="8">
        <v>0</v>
      </c>
      <c r="AG187" s="8" t="s">
        <v>65</v>
      </c>
      <c r="AH187" s="8">
        <v>1</v>
      </c>
      <c r="AI187" s="8">
        <v>1</v>
      </c>
      <c r="AJ187" s="8">
        <v>1</v>
      </c>
      <c r="AK187" s="8">
        <v>1</v>
      </c>
      <c r="AR187" s="8">
        <v>2790</v>
      </c>
      <c r="AS187" s="8">
        <v>2070</v>
      </c>
      <c r="AT187">
        <v>4751052</v>
      </c>
      <c r="AU187" s="8" t="s">
        <v>66</v>
      </c>
      <c r="AW187" s="8">
        <v>0</v>
      </c>
    </row>
    <row r="188" spans="1:49" x14ac:dyDescent="0.25">
      <c r="A188" t="s">
        <v>795</v>
      </c>
      <c r="B188">
        <v>4062372</v>
      </c>
      <c r="C188" t="s">
        <v>58</v>
      </c>
      <c r="D188">
        <v>19</v>
      </c>
      <c r="E188">
        <v>0</v>
      </c>
      <c r="F188">
        <v>11.26</v>
      </c>
      <c r="G188">
        <v>750</v>
      </c>
      <c r="J188" t="s">
        <v>796</v>
      </c>
      <c r="K188" s="8">
        <v>1</v>
      </c>
      <c r="L188" s="8">
        <v>1</v>
      </c>
      <c r="M188" t="str">
        <f t="shared" si="2"/>
        <v>Melamine-U963-Gris ombre-ST9 19 mm</v>
      </c>
      <c r="N188" s="8">
        <v>0</v>
      </c>
      <c r="O188" s="8">
        <v>1</v>
      </c>
      <c r="P188" s="8">
        <v>0</v>
      </c>
      <c r="Q188" s="8" t="s">
        <v>61</v>
      </c>
      <c r="R188" s="8" t="s">
        <v>62</v>
      </c>
      <c r="AB188" t="s">
        <v>797</v>
      </c>
      <c r="AD188" t="s">
        <v>798</v>
      </c>
      <c r="AE188" s="8">
        <v>1</v>
      </c>
      <c r="AF188" s="8">
        <v>0</v>
      </c>
      <c r="AG188" s="8" t="s">
        <v>65</v>
      </c>
      <c r="AH188" s="8">
        <v>1</v>
      </c>
      <c r="AI188" s="8">
        <v>1</v>
      </c>
      <c r="AJ188" s="8">
        <v>1</v>
      </c>
      <c r="AK188" s="8">
        <v>1</v>
      </c>
      <c r="AR188" s="8">
        <v>2790</v>
      </c>
      <c r="AS188" s="8">
        <v>2070</v>
      </c>
      <c r="AT188">
        <v>4062372</v>
      </c>
      <c r="AU188" s="8" t="s">
        <v>66</v>
      </c>
      <c r="AW188" s="8">
        <v>0</v>
      </c>
    </row>
    <row r="189" spans="1:49" x14ac:dyDescent="0.25">
      <c r="A189" t="s">
        <v>799</v>
      </c>
      <c r="B189">
        <v>4062373</v>
      </c>
      <c r="C189" t="s">
        <v>58</v>
      </c>
      <c r="D189">
        <v>19</v>
      </c>
      <c r="E189">
        <v>0</v>
      </c>
      <c r="F189">
        <v>14.23</v>
      </c>
      <c r="G189">
        <v>750</v>
      </c>
      <c r="J189" t="s">
        <v>800</v>
      </c>
      <c r="K189" s="8">
        <v>1</v>
      </c>
      <c r="L189" s="8">
        <v>1</v>
      </c>
      <c r="M189" t="str">
        <f t="shared" si="2"/>
        <v>Melamine-U968-Gris carbone-ST9 19 mm</v>
      </c>
      <c r="N189" s="8">
        <v>0</v>
      </c>
      <c r="O189" s="8">
        <v>1</v>
      </c>
      <c r="P189" s="8">
        <v>0</v>
      </c>
      <c r="Q189" s="8" t="s">
        <v>61</v>
      </c>
      <c r="R189" s="8" t="s">
        <v>62</v>
      </c>
      <c r="AB189" t="s">
        <v>801</v>
      </c>
      <c r="AD189" t="s">
        <v>802</v>
      </c>
      <c r="AE189" s="8">
        <v>1</v>
      </c>
      <c r="AF189" s="8">
        <v>0</v>
      </c>
      <c r="AG189" s="8" t="s">
        <v>65</v>
      </c>
      <c r="AH189" s="8">
        <v>1</v>
      </c>
      <c r="AI189" s="8">
        <v>1</v>
      </c>
      <c r="AJ189" s="8">
        <v>1</v>
      </c>
      <c r="AK189" s="8">
        <v>1</v>
      </c>
      <c r="AR189" s="8">
        <v>2790</v>
      </c>
      <c r="AS189" s="8">
        <v>2070</v>
      </c>
      <c r="AT189">
        <v>4062373</v>
      </c>
      <c r="AU189" s="8" t="s">
        <v>66</v>
      </c>
      <c r="AW189" s="8">
        <v>0</v>
      </c>
    </row>
    <row r="190" spans="1:49" x14ac:dyDescent="0.25">
      <c r="A190" t="s">
        <v>803</v>
      </c>
      <c r="B190">
        <v>4062374</v>
      </c>
      <c r="C190" t="s">
        <v>58</v>
      </c>
      <c r="D190">
        <v>19</v>
      </c>
      <c r="E190">
        <v>0</v>
      </c>
      <c r="F190">
        <v>15.12</v>
      </c>
      <c r="G190">
        <v>750</v>
      </c>
      <c r="J190" t="s">
        <v>804</v>
      </c>
      <c r="K190" s="8">
        <v>1</v>
      </c>
      <c r="L190" s="8">
        <v>1</v>
      </c>
      <c r="M190" t="str">
        <f t="shared" si="2"/>
        <v>Melamine-U989-Brun noir-ST9 19 mm</v>
      </c>
      <c r="N190" s="8">
        <v>0</v>
      </c>
      <c r="O190" s="8">
        <v>1</v>
      </c>
      <c r="P190" s="8">
        <v>0</v>
      </c>
      <c r="Q190" s="8" t="s">
        <v>61</v>
      </c>
      <c r="R190" s="8" t="s">
        <v>62</v>
      </c>
      <c r="AB190" t="s">
        <v>805</v>
      </c>
      <c r="AD190" t="s">
        <v>806</v>
      </c>
      <c r="AE190" s="8">
        <v>1</v>
      </c>
      <c r="AF190" s="8">
        <v>0</v>
      </c>
      <c r="AG190" s="8" t="s">
        <v>65</v>
      </c>
      <c r="AH190" s="8">
        <v>1</v>
      </c>
      <c r="AI190" s="8">
        <v>1</v>
      </c>
      <c r="AJ190" s="8">
        <v>1</v>
      </c>
      <c r="AK190" s="8">
        <v>1</v>
      </c>
      <c r="AR190" s="8">
        <v>2790</v>
      </c>
      <c r="AS190" s="8">
        <v>2070</v>
      </c>
      <c r="AT190">
        <v>4062374</v>
      </c>
      <c r="AU190" s="8" t="s">
        <v>66</v>
      </c>
      <c r="AW190" s="8">
        <v>0</v>
      </c>
    </row>
    <row r="191" spans="1:49" x14ac:dyDescent="0.25">
      <c r="A191" t="s">
        <v>807</v>
      </c>
      <c r="B191">
        <v>7786524</v>
      </c>
      <c r="C191" t="s">
        <v>58</v>
      </c>
      <c r="D191">
        <v>19</v>
      </c>
      <c r="E191">
        <v>0</v>
      </c>
      <c r="F191">
        <v>18.71</v>
      </c>
      <c r="G191">
        <v>750</v>
      </c>
      <c r="J191" t="s">
        <v>808</v>
      </c>
      <c r="K191" s="8">
        <v>1</v>
      </c>
      <c r="L191" s="8">
        <v>1</v>
      </c>
      <c r="M191" t="str">
        <f t="shared" si="2"/>
        <v>Melamine-U998-Reflet noir-ST38 19 mm</v>
      </c>
      <c r="N191" s="8">
        <v>0</v>
      </c>
      <c r="O191" s="8">
        <v>1</v>
      </c>
      <c r="P191" s="8">
        <v>0</v>
      </c>
      <c r="Q191" s="8" t="s">
        <v>61</v>
      </c>
      <c r="R191" s="8" t="s">
        <v>62</v>
      </c>
      <c r="AB191" t="s">
        <v>809</v>
      </c>
      <c r="AD191" t="s">
        <v>810</v>
      </c>
      <c r="AE191" s="8">
        <v>1</v>
      </c>
      <c r="AF191" s="8">
        <v>0</v>
      </c>
      <c r="AG191" s="8" t="s">
        <v>65</v>
      </c>
      <c r="AH191" s="8">
        <v>1</v>
      </c>
      <c r="AI191" s="8">
        <v>1</v>
      </c>
      <c r="AJ191" s="8">
        <v>1</v>
      </c>
      <c r="AK191" s="8">
        <v>1</v>
      </c>
      <c r="AR191" s="8">
        <v>2790</v>
      </c>
      <c r="AS191" s="8">
        <v>2070</v>
      </c>
      <c r="AT191">
        <v>7786524</v>
      </c>
      <c r="AU191" s="8" t="s">
        <v>66</v>
      </c>
      <c r="AW191" s="8">
        <v>0</v>
      </c>
    </row>
    <row r="192" spans="1:49" x14ac:dyDescent="0.25">
      <c r="A192" t="s">
        <v>811</v>
      </c>
      <c r="B192">
        <v>7786526</v>
      </c>
      <c r="C192" t="s">
        <v>58</v>
      </c>
      <c r="D192">
        <v>19</v>
      </c>
      <c r="E192">
        <v>0</v>
      </c>
      <c r="F192">
        <v>24.2</v>
      </c>
      <c r="G192">
        <v>750</v>
      </c>
      <c r="J192" t="s">
        <v>812</v>
      </c>
      <c r="K192" s="8">
        <v>1</v>
      </c>
      <c r="L192" s="8">
        <v>1</v>
      </c>
      <c r="M192" t="str">
        <f t="shared" si="2"/>
        <v>Melamine-U999-Noir-ST12 19 mm</v>
      </c>
      <c r="N192" s="8">
        <v>0</v>
      </c>
      <c r="O192" s="8">
        <v>1</v>
      </c>
      <c r="P192" s="8">
        <v>0</v>
      </c>
      <c r="Q192" s="8" t="s">
        <v>61</v>
      </c>
      <c r="R192" s="8" t="s">
        <v>62</v>
      </c>
      <c r="AB192" t="s">
        <v>813</v>
      </c>
      <c r="AD192" t="s">
        <v>814</v>
      </c>
      <c r="AE192" s="8">
        <v>1</v>
      </c>
      <c r="AF192" s="8">
        <v>0</v>
      </c>
      <c r="AG192" s="8" t="s">
        <v>65</v>
      </c>
      <c r="AH192" s="8">
        <v>1</v>
      </c>
      <c r="AI192" s="8">
        <v>1</v>
      </c>
      <c r="AJ192" s="8">
        <v>1</v>
      </c>
      <c r="AK192" s="8">
        <v>1</v>
      </c>
      <c r="AR192" s="8">
        <v>2790</v>
      </c>
      <c r="AS192" s="8">
        <v>2070</v>
      </c>
      <c r="AT192">
        <v>4751163</v>
      </c>
      <c r="AU192" s="8" t="s">
        <v>66</v>
      </c>
      <c r="AW192" s="8">
        <v>0</v>
      </c>
    </row>
    <row r="193" spans="1:49" x14ac:dyDescent="0.25">
      <c r="A193" t="s">
        <v>815</v>
      </c>
      <c r="B193">
        <v>7786527</v>
      </c>
      <c r="C193" t="s">
        <v>58</v>
      </c>
      <c r="D193">
        <v>19</v>
      </c>
      <c r="E193">
        <v>0</v>
      </c>
      <c r="F193">
        <v>24.2</v>
      </c>
      <c r="G193">
        <v>750</v>
      </c>
      <c r="J193" t="s">
        <v>812</v>
      </c>
      <c r="K193" s="8">
        <v>1</v>
      </c>
      <c r="L193" s="8">
        <v>1</v>
      </c>
      <c r="M193" t="str">
        <f t="shared" si="2"/>
        <v>Melamine-U999-Noir-ST19 19 mm</v>
      </c>
      <c r="N193" s="8">
        <v>0</v>
      </c>
      <c r="O193" s="8">
        <v>1</v>
      </c>
      <c r="P193" s="8">
        <v>0</v>
      </c>
      <c r="Q193" s="8" t="s">
        <v>61</v>
      </c>
      <c r="R193" s="8" t="s">
        <v>62</v>
      </c>
      <c r="AB193" t="s">
        <v>816</v>
      </c>
      <c r="AD193" t="s">
        <v>817</v>
      </c>
      <c r="AE193" s="8">
        <v>1</v>
      </c>
      <c r="AF193" s="8">
        <v>0</v>
      </c>
      <c r="AG193" s="8" t="s">
        <v>65</v>
      </c>
      <c r="AH193" s="8">
        <v>1</v>
      </c>
      <c r="AI193" s="8">
        <v>1</v>
      </c>
      <c r="AJ193" s="8">
        <v>1</v>
      </c>
      <c r="AK193" s="8">
        <v>1</v>
      </c>
      <c r="AR193" s="8">
        <v>2790</v>
      </c>
      <c r="AS193" s="8">
        <v>2070</v>
      </c>
      <c r="AT193">
        <v>4751163</v>
      </c>
      <c r="AU193" s="8" t="s">
        <v>66</v>
      </c>
      <c r="AW193" s="8">
        <v>0</v>
      </c>
    </row>
    <row r="194" spans="1:49" x14ac:dyDescent="0.25">
      <c r="A194" t="s">
        <v>818</v>
      </c>
      <c r="B194">
        <v>4766392</v>
      </c>
      <c r="C194" t="s">
        <v>58</v>
      </c>
      <c r="D194">
        <v>19</v>
      </c>
      <c r="E194">
        <v>0</v>
      </c>
      <c r="F194">
        <v>24.2</v>
      </c>
      <c r="G194">
        <v>750</v>
      </c>
      <c r="J194" t="s">
        <v>812</v>
      </c>
      <c r="K194" s="8">
        <v>1</v>
      </c>
      <c r="L194" s="8">
        <v>1</v>
      </c>
      <c r="M194" t="str">
        <f t="shared" si="2"/>
        <v>Melamine-U999-Noir-ST20 19 mm</v>
      </c>
      <c r="N194" s="8">
        <v>0</v>
      </c>
      <c r="O194" s="8">
        <v>1</v>
      </c>
      <c r="P194" s="8">
        <v>0</v>
      </c>
      <c r="Q194" s="8" t="s">
        <v>61</v>
      </c>
      <c r="R194" s="8" t="s">
        <v>62</v>
      </c>
      <c r="AB194" t="s">
        <v>819</v>
      </c>
      <c r="AD194" t="s">
        <v>820</v>
      </c>
      <c r="AE194" s="8">
        <v>1</v>
      </c>
      <c r="AF194" s="8">
        <v>0</v>
      </c>
      <c r="AG194" s="8" t="s">
        <v>65</v>
      </c>
      <c r="AH194" s="8">
        <v>1</v>
      </c>
      <c r="AI194" s="8">
        <v>1</v>
      </c>
      <c r="AJ194" s="8">
        <v>1</v>
      </c>
      <c r="AK194" s="8">
        <v>1</v>
      </c>
      <c r="AR194" s="8">
        <v>2790</v>
      </c>
      <c r="AS194" s="8">
        <v>2070</v>
      </c>
      <c r="AT194">
        <v>4751163</v>
      </c>
      <c r="AU194" s="8" t="s">
        <v>66</v>
      </c>
      <c r="AW194" s="8">
        <v>0</v>
      </c>
    </row>
    <row r="195" spans="1:49" x14ac:dyDescent="0.25">
      <c r="A195" t="s">
        <v>821</v>
      </c>
      <c r="B195">
        <v>4751129</v>
      </c>
      <c r="C195" t="s">
        <v>58</v>
      </c>
      <c r="D195">
        <v>19</v>
      </c>
      <c r="E195">
        <v>0</v>
      </c>
      <c r="F195">
        <v>24.2</v>
      </c>
      <c r="G195">
        <v>750</v>
      </c>
      <c r="J195" t="s">
        <v>812</v>
      </c>
      <c r="K195" s="8">
        <v>1</v>
      </c>
      <c r="L195" s="8">
        <v>1</v>
      </c>
      <c r="M195" t="str">
        <f t="shared" si="2"/>
        <v>Melamine-U999-Noir-ST7 19 mm</v>
      </c>
      <c r="N195" s="8">
        <v>0</v>
      </c>
      <c r="O195" s="8">
        <v>1</v>
      </c>
      <c r="P195" s="8">
        <v>0</v>
      </c>
      <c r="Q195" s="8" t="s">
        <v>61</v>
      </c>
      <c r="R195" s="8" t="s">
        <v>62</v>
      </c>
      <c r="AB195" t="s">
        <v>822</v>
      </c>
      <c r="AD195" t="s">
        <v>823</v>
      </c>
      <c r="AE195" s="8">
        <v>1</v>
      </c>
      <c r="AF195" s="8">
        <v>0</v>
      </c>
      <c r="AG195" s="8" t="s">
        <v>65</v>
      </c>
      <c r="AH195" s="8">
        <v>1</v>
      </c>
      <c r="AI195" s="8">
        <v>1</v>
      </c>
      <c r="AJ195" s="8">
        <v>1</v>
      </c>
      <c r="AK195" s="8">
        <v>1</v>
      </c>
      <c r="AR195" s="8">
        <v>2790</v>
      </c>
      <c r="AS195" s="8">
        <v>2070</v>
      </c>
      <c r="AT195">
        <v>4751163</v>
      </c>
      <c r="AU195" s="8" t="s">
        <v>66</v>
      </c>
      <c r="AW195" s="8">
        <v>0</v>
      </c>
    </row>
    <row r="196" spans="1:49" x14ac:dyDescent="0.25">
      <c r="A196" t="s">
        <v>824</v>
      </c>
      <c r="B196">
        <v>7786531</v>
      </c>
      <c r="C196" t="s">
        <v>58</v>
      </c>
      <c r="D196">
        <v>19</v>
      </c>
      <c r="E196">
        <v>0</v>
      </c>
      <c r="F196">
        <v>15.79</v>
      </c>
      <c r="G196">
        <v>750</v>
      </c>
      <c r="J196" t="s">
        <v>825</v>
      </c>
      <c r="K196" s="8">
        <v>1</v>
      </c>
      <c r="L196" s="8">
        <v>1</v>
      </c>
      <c r="M196" t="str">
        <f t="shared" si="2"/>
        <v>Melamine-W1000-Blanc premium-ST19 19 mm</v>
      </c>
      <c r="N196" s="8">
        <v>0</v>
      </c>
      <c r="O196" s="8">
        <v>1</v>
      </c>
      <c r="P196" s="8">
        <v>0</v>
      </c>
      <c r="Q196" s="8" t="s">
        <v>61</v>
      </c>
      <c r="R196" s="8" t="s">
        <v>62</v>
      </c>
      <c r="AB196" t="s">
        <v>826</v>
      </c>
      <c r="AD196" t="s">
        <v>827</v>
      </c>
      <c r="AE196" s="8">
        <v>1</v>
      </c>
      <c r="AF196" s="8">
        <v>0</v>
      </c>
      <c r="AG196" s="8" t="s">
        <v>65</v>
      </c>
      <c r="AH196" s="8">
        <v>1</v>
      </c>
      <c r="AI196" s="8">
        <v>1</v>
      </c>
      <c r="AJ196" s="8">
        <v>1</v>
      </c>
      <c r="AK196" s="8">
        <v>1</v>
      </c>
      <c r="AR196" s="8">
        <v>2790</v>
      </c>
      <c r="AS196" s="8">
        <v>2070</v>
      </c>
      <c r="AT196">
        <v>7786531</v>
      </c>
      <c r="AU196" s="8" t="s">
        <v>66</v>
      </c>
      <c r="AW196" s="8">
        <v>0</v>
      </c>
    </row>
    <row r="197" spans="1:49" x14ac:dyDescent="0.25">
      <c r="A197" t="s">
        <v>828</v>
      </c>
      <c r="B197">
        <v>7786532</v>
      </c>
      <c r="C197" t="s">
        <v>58</v>
      </c>
      <c r="D197">
        <v>19</v>
      </c>
      <c r="E197">
        <v>0</v>
      </c>
      <c r="F197">
        <v>15.79</v>
      </c>
      <c r="G197">
        <v>750</v>
      </c>
      <c r="J197" t="s">
        <v>825</v>
      </c>
      <c r="K197" s="8">
        <v>1</v>
      </c>
      <c r="L197" s="8">
        <v>1</v>
      </c>
      <c r="M197" t="str">
        <f t="shared" ref="M197:M260" si="3">IF(ISNUMBER(SEARCH("Melamine",A197)),_xlfn.CONCAT(A197," ",D197," mm"),A197)</f>
        <v>Melamine-W1000-Blanc premium-ST38 19 mm</v>
      </c>
      <c r="N197" s="8">
        <v>0</v>
      </c>
      <c r="O197" s="8">
        <v>1</v>
      </c>
      <c r="P197" s="8">
        <v>0</v>
      </c>
      <c r="Q197" s="8" t="s">
        <v>61</v>
      </c>
      <c r="R197" s="8" t="s">
        <v>62</v>
      </c>
      <c r="AB197" t="s">
        <v>829</v>
      </c>
      <c r="AD197" t="s">
        <v>830</v>
      </c>
      <c r="AE197" s="8">
        <v>1</v>
      </c>
      <c r="AF197" s="8">
        <v>0</v>
      </c>
      <c r="AG197" s="8" t="s">
        <v>65</v>
      </c>
      <c r="AH197" s="8">
        <v>1</v>
      </c>
      <c r="AI197" s="8">
        <v>1</v>
      </c>
      <c r="AJ197" s="8">
        <v>1</v>
      </c>
      <c r="AK197" s="8">
        <v>1</v>
      </c>
      <c r="AR197" s="8">
        <v>2790</v>
      </c>
      <c r="AS197" s="8">
        <v>2070</v>
      </c>
      <c r="AT197">
        <v>7786531</v>
      </c>
      <c r="AU197" s="8" t="s">
        <v>66</v>
      </c>
      <c r="AW197" s="8">
        <v>0</v>
      </c>
    </row>
    <row r="198" spans="1:49" x14ac:dyDescent="0.25">
      <c r="A198" t="s">
        <v>831</v>
      </c>
      <c r="B198">
        <v>4062375</v>
      </c>
      <c r="C198" t="s">
        <v>58</v>
      </c>
      <c r="D198">
        <v>19</v>
      </c>
      <c r="E198">
        <v>0</v>
      </c>
      <c r="F198">
        <v>15.79</v>
      </c>
      <c r="G198">
        <v>750</v>
      </c>
      <c r="J198" t="s">
        <v>825</v>
      </c>
      <c r="K198" s="8">
        <v>1</v>
      </c>
      <c r="L198" s="8">
        <v>1</v>
      </c>
      <c r="M198" t="str">
        <f t="shared" si="3"/>
        <v>Melamine-W1000-Blanc premium-ST9 19 mm</v>
      </c>
      <c r="N198" s="8">
        <v>0</v>
      </c>
      <c r="O198" s="8">
        <v>1</v>
      </c>
      <c r="P198" s="8">
        <v>0</v>
      </c>
      <c r="Q198" s="8" t="s">
        <v>61</v>
      </c>
      <c r="R198" s="8" t="s">
        <v>62</v>
      </c>
      <c r="AB198" t="s">
        <v>832</v>
      </c>
      <c r="AD198" t="s">
        <v>833</v>
      </c>
      <c r="AE198" s="8">
        <v>1</v>
      </c>
      <c r="AF198" s="8">
        <v>0</v>
      </c>
      <c r="AG198" s="8" t="s">
        <v>65</v>
      </c>
      <c r="AH198" s="8">
        <v>1</v>
      </c>
      <c r="AI198" s="8">
        <v>1</v>
      </c>
      <c r="AJ198" s="8">
        <v>1</v>
      </c>
      <c r="AK198" s="8">
        <v>1</v>
      </c>
      <c r="AR198" s="8">
        <v>2790</v>
      </c>
      <c r="AS198" s="8">
        <v>2070</v>
      </c>
      <c r="AT198">
        <v>7786531</v>
      </c>
      <c r="AU198" s="8" t="s">
        <v>66</v>
      </c>
      <c r="AW198" s="8">
        <v>0</v>
      </c>
    </row>
    <row r="199" spans="1:49" x14ac:dyDescent="0.25">
      <c r="A199" t="s">
        <v>834</v>
      </c>
      <c r="B199">
        <v>4062376</v>
      </c>
      <c r="C199" t="s">
        <v>58</v>
      </c>
      <c r="D199">
        <v>19</v>
      </c>
      <c r="E199">
        <v>0</v>
      </c>
      <c r="F199">
        <v>14.23</v>
      </c>
      <c r="G199">
        <v>750</v>
      </c>
      <c r="J199" t="s">
        <v>835</v>
      </c>
      <c r="K199" s="8">
        <v>1</v>
      </c>
      <c r="L199" s="8">
        <v>1</v>
      </c>
      <c r="M199" t="str">
        <f t="shared" si="3"/>
        <v>Melamine-W1100-Blanc alpin-ST9 19 mm</v>
      </c>
      <c r="N199" s="8">
        <v>0</v>
      </c>
      <c r="O199" s="8">
        <v>1</v>
      </c>
      <c r="P199" s="8">
        <v>0</v>
      </c>
      <c r="Q199" s="8" t="s">
        <v>61</v>
      </c>
      <c r="R199" s="8" t="s">
        <v>62</v>
      </c>
      <c r="AB199" t="s">
        <v>836</v>
      </c>
      <c r="AD199" t="s">
        <v>837</v>
      </c>
      <c r="AE199" s="8">
        <v>1</v>
      </c>
      <c r="AF199" s="8">
        <v>0</v>
      </c>
      <c r="AG199" s="8" t="s">
        <v>65</v>
      </c>
      <c r="AH199" s="8">
        <v>1</v>
      </c>
      <c r="AI199" s="8">
        <v>1</v>
      </c>
      <c r="AJ199" s="8">
        <v>1</v>
      </c>
      <c r="AK199" s="8">
        <v>1</v>
      </c>
      <c r="AR199" s="8">
        <v>2790</v>
      </c>
      <c r="AS199" s="8">
        <v>2070</v>
      </c>
      <c r="AT199">
        <v>4062376</v>
      </c>
      <c r="AU199" s="8" t="s">
        <v>66</v>
      </c>
      <c r="AW199" s="8">
        <v>0</v>
      </c>
    </row>
    <row r="200" spans="1:49" x14ac:dyDescent="0.25">
      <c r="A200" t="s">
        <v>838</v>
      </c>
      <c r="B200">
        <v>4062377</v>
      </c>
      <c r="C200" t="s">
        <v>58</v>
      </c>
      <c r="D200">
        <v>19</v>
      </c>
      <c r="E200">
        <v>0</v>
      </c>
      <c r="F200">
        <v>11.06</v>
      </c>
      <c r="G200">
        <v>750</v>
      </c>
      <c r="J200" t="s">
        <v>839</v>
      </c>
      <c r="K200" s="8">
        <v>1</v>
      </c>
      <c r="L200" s="8">
        <v>1</v>
      </c>
      <c r="M200" t="str">
        <f t="shared" si="3"/>
        <v>Melamine-W1200-Blanc porcelaine-ST9 19 mm</v>
      </c>
      <c r="N200" s="8">
        <v>0</v>
      </c>
      <c r="O200" s="8">
        <v>1</v>
      </c>
      <c r="P200" s="8">
        <v>0</v>
      </c>
      <c r="Q200" s="8" t="s">
        <v>61</v>
      </c>
      <c r="R200" s="8" t="s">
        <v>62</v>
      </c>
      <c r="AB200" t="s">
        <v>840</v>
      </c>
      <c r="AD200" t="s">
        <v>841</v>
      </c>
      <c r="AE200" s="8">
        <v>1</v>
      </c>
      <c r="AF200" s="8">
        <v>0</v>
      </c>
      <c r="AG200" s="8" t="s">
        <v>65</v>
      </c>
      <c r="AH200" s="8">
        <v>1</v>
      </c>
      <c r="AI200" s="8">
        <v>1</v>
      </c>
      <c r="AJ200" s="8">
        <v>1</v>
      </c>
      <c r="AK200" s="8">
        <v>1</v>
      </c>
      <c r="AR200" s="8">
        <v>2790</v>
      </c>
      <c r="AS200" s="8">
        <v>2070</v>
      </c>
      <c r="AT200">
        <v>7787387</v>
      </c>
      <c r="AU200" s="8" t="s">
        <v>66</v>
      </c>
      <c r="AW200" s="8">
        <v>0</v>
      </c>
    </row>
    <row r="201" spans="1:49" x14ac:dyDescent="0.25">
      <c r="A201" t="s">
        <v>842</v>
      </c>
      <c r="C201" t="s">
        <v>58</v>
      </c>
      <c r="D201">
        <v>19</v>
      </c>
      <c r="E201">
        <v>0</v>
      </c>
      <c r="F201">
        <v>9.2899999999999991</v>
      </c>
      <c r="G201">
        <v>750</v>
      </c>
      <c r="J201" t="s">
        <v>843</v>
      </c>
      <c r="K201" s="8">
        <v>1</v>
      </c>
      <c r="L201" s="8">
        <v>1</v>
      </c>
      <c r="M201" t="str">
        <f t="shared" si="3"/>
        <v>Melamine-W960-Blanc classique-SM 19 mm</v>
      </c>
      <c r="N201" s="8">
        <v>0</v>
      </c>
      <c r="O201" s="8">
        <v>1</v>
      </c>
      <c r="P201" s="8">
        <v>0</v>
      </c>
      <c r="Q201" s="8" t="s">
        <v>61</v>
      </c>
      <c r="R201" s="8" t="s">
        <v>62</v>
      </c>
      <c r="AB201" t="s">
        <v>844</v>
      </c>
      <c r="AD201" t="s">
        <v>845</v>
      </c>
      <c r="AE201" s="8">
        <v>1</v>
      </c>
      <c r="AF201" s="8">
        <v>0</v>
      </c>
      <c r="AG201" s="8" t="s">
        <v>65</v>
      </c>
      <c r="AH201" s="8">
        <v>1</v>
      </c>
      <c r="AI201" s="8">
        <v>1</v>
      </c>
      <c r="AJ201" s="8">
        <v>1</v>
      </c>
      <c r="AK201" s="8">
        <v>1</v>
      </c>
      <c r="AR201" s="8">
        <v>2790</v>
      </c>
      <c r="AS201" s="8">
        <v>2070</v>
      </c>
      <c r="AT201">
        <v>4766398</v>
      </c>
      <c r="AU201" s="8" t="s">
        <v>66</v>
      </c>
      <c r="AW201" s="8">
        <v>0</v>
      </c>
    </row>
    <row r="202" spans="1:49" x14ac:dyDescent="0.25">
      <c r="A202" t="s">
        <v>846</v>
      </c>
      <c r="B202">
        <v>4766398</v>
      </c>
      <c r="C202" t="s">
        <v>58</v>
      </c>
      <c r="D202">
        <v>19</v>
      </c>
      <c r="E202">
        <v>0</v>
      </c>
      <c r="F202">
        <v>9.2899999999999991</v>
      </c>
      <c r="G202">
        <v>750</v>
      </c>
      <c r="J202" t="s">
        <v>843</v>
      </c>
      <c r="K202" s="8">
        <v>1</v>
      </c>
      <c r="L202" s="8">
        <v>1</v>
      </c>
      <c r="M202" t="str">
        <f t="shared" si="3"/>
        <v>Melamine-W960-Blanc classique-ST7 19 mm</v>
      </c>
      <c r="N202" s="8">
        <v>0</v>
      </c>
      <c r="O202" s="8">
        <v>1</v>
      </c>
      <c r="P202" s="8">
        <v>0</v>
      </c>
      <c r="Q202" s="8" t="s">
        <v>61</v>
      </c>
      <c r="R202" s="8" t="s">
        <v>62</v>
      </c>
      <c r="AB202" t="s">
        <v>847</v>
      </c>
      <c r="AD202" t="s">
        <v>848</v>
      </c>
      <c r="AE202" s="8">
        <v>1</v>
      </c>
      <c r="AF202" s="8">
        <v>0</v>
      </c>
      <c r="AG202" s="8" t="s">
        <v>65</v>
      </c>
      <c r="AH202" s="8">
        <v>1</v>
      </c>
      <c r="AI202" s="8">
        <v>1</v>
      </c>
      <c r="AJ202" s="8">
        <v>1</v>
      </c>
      <c r="AK202" s="8">
        <v>1</v>
      </c>
      <c r="AR202" s="8">
        <v>2790</v>
      </c>
      <c r="AS202" s="8">
        <v>2070</v>
      </c>
      <c r="AT202">
        <v>4766398</v>
      </c>
      <c r="AU202" s="8" t="s">
        <v>66</v>
      </c>
      <c r="AW202" s="8">
        <v>0</v>
      </c>
    </row>
    <row r="203" spans="1:49" x14ac:dyDescent="0.25">
      <c r="A203" t="s">
        <v>849</v>
      </c>
      <c r="C203" t="s">
        <v>58</v>
      </c>
      <c r="D203">
        <v>19</v>
      </c>
      <c r="E203">
        <v>0</v>
      </c>
      <c r="F203">
        <v>14.35</v>
      </c>
      <c r="G203">
        <v>750</v>
      </c>
      <c r="J203" t="s">
        <v>850</v>
      </c>
      <c r="K203" s="8">
        <v>1</v>
      </c>
      <c r="L203" s="8">
        <v>1</v>
      </c>
      <c r="M203" t="str">
        <f t="shared" si="3"/>
        <v>Melamine-W980-Blanc kaolin-SM 19 mm</v>
      </c>
      <c r="N203" s="8">
        <v>0</v>
      </c>
      <c r="O203" s="8">
        <v>1</v>
      </c>
      <c r="P203" s="8">
        <v>0</v>
      </c>
      <c r="Q203" s="8" t="s">
        <v>61</v>
      </c>
      <c r="R203" s="8" t="s">
        <v>62</v>
      </c>
      <c r="AB203" t="s">
        <v>851</v>
      </c>
      <c r="AD203" t="s">
        <v>852</v>
      </c>
      <c r="AE203" s="8">
        <v>1</v>
      </c>
      <c r="AF203" s="8">
        <v>0</v>
      </c>
      <c r="AG203" s="8" t="s">
        <v>65</v>
      </c>
      <c r="AH203" s="8">
        <v>1</v>
      </c>
      <c r="AI203" s="8">
        <v>1</v>
      </c>
      <c r="AJ203" s="8">
        <v>1</v>
      </c>
      <c r="AK203" s="8">
        <v>1</v>
      </c>
      <c r="AR203" s="8">
        <v>2790</v>
      </c>
      <c r="AS203" s="8">
        <v>2070</v>
      </c>
      <c r="AT203">
        <v>4751093</v>
      </c>
      <c r="AU203" s="8" t="s">
        <v>66</v>
      </c>
      <c r="AW203" s="8">
        <v>0</v>
      </c>
    </row>
    <row r="204" spans="1:49" x14ac:dyDescent="0.25">
      <c r="A204" t="s">
        <v>853</v>
      </c>
      <c r="B204">
        <v>4814161</v>
      </c>
      <c r="C204" t="s">
        <v>58</v>
      </c>
      <c r="D204">
        <v>19</v>
      </c>
      <c r="E204">
        <v>0</v>
      </c>
      <c r="F204">
        <v>14.35</v>
      </c>
      <c r="G204">
        <v>750</v>
      </c>
      <c r="J204" t="s">
        <v>850</v>
      </c>
      <c r="K204" s="8">
        <v>1</v>
      </c>
      <c r="L204" s="8">
        <v>1</v>
      </c>
      <c r="M204" t="str">
        <f t="shared" si="3"/>
        <v>Melamine-W980-Blanc kaolin-ST7 19 mm</v>
      </c>
      <c r="N204" s="8">
        <v>0</v>
      </c>
      <c r="O204" s="8">
        <v>1</v>
      </c>
      <c r="P204" s="8">
        <v>0</v>
      </c>
      <c r="Q204" s="8" t="s">
        <v>61</v>
      </c>
      <c r="R204" s="8" t="s">
        <v>62</v>
      </c>
      <c r="AB204" t="s">
        <v>854</v>
      </c>
      <c r="AD204" t="s">
        <v>855</v>
      </c>
      <c r="AE204" s="8">
        <v>1</v>
      </c>
      <c r="AF204" s="8">
        <v>0</v>
      </c>
      <c r="AG204" s="8" t="s">
        <v>65</v>
      </c>
      <c r="AH204" s="8">
        <v>1</v>
      </c>
      <c r="AI204" s="8">
        <v>1</v>
      </c>
      <c r="AJ204" s="8">
        <v>1</v>
      </c>
      <c r="AK204" s="8">
        <v>1</v>
      </c>
      <c r="AR204" s="8">
        <v>2790</v>
      </c>
      <c r="AS204" s="8">
        <v>2070</v>
      </c>
      <c r="AT204">
        <v>4751093</v>
      </c>
      <c r="AU204" s="8" t="s">
        <v>66</v>
      </c>
      <c r="AW204" s="8">
        <v>0</v>
      </c>
    </row>
    <row r="205" spans="1:49" x14ac:dyDescent="0.25">
      <c r="A205" t="s">
        <v>856</v>
      </c>
      <c r="B205">
        <v>4766401</v>
      </c>
      <c r="C205" t="s">
        <v>58</v>
      </c>
      <c r="D205">
        <v>19</v>
      </c>
      <c r="E205">
        <v>0</v>
      </c>
      <c r="F205">
        <v>9.24</v>
      </c>
      <c r="G205">
        <v>750</v>
      </c>
      <c r="J205" t="s">
        <v>857</v>
      </c>
      <c r="K205" s="8">
        <v>1</v>
      </c>
      <c r="L205" s="8">
        <v>1</v>
      </c>
      <c r="M205" t="str">
        <f t="shared" si="3"/>
        <v>Melamine-W990-Blanc cristal-ST7 19 mm</v>
      </c>
      <c r="N205" s="8">
        <v>0</v>
      </c>
      <c r="O205" s="8">
        <v>1</v>
      </c>
      <c r="P205" s="8">
        <v>0</v>
      </c>
      <c r="Q205" s="8" t="s">
        <v>61</v>
      </c>
      <c r="R205" s="8" t="s">
        <v>62</v>
      </c>
      <c r="AB205" t="s">
        <v>858</v>
      </c>
      <c r="AD205" t="s">
        <v>859</v>
      </c>
      <c r="AE205" s="8">
        <v>1</v>
      </c>
      <c r="AF205" s="8">
        <v>0</v>
      </c>
      <c r="AG205" s="8" t="s">
        <v>65</v>
      </c>
      <c r="AH205" s="8">
        <v>1</v>
      </c>
      <c r="AI205" s="8">
        <v>1</v>
      </c>
      <c r="AJ205" s="8">
        <v>1</v>
      </c>
      <c r="AK205" s="8">
        <v>1</v>
      </c>
      <c r="AR205" s="8">
        <v>2790</v>
      </c>
      <c r="AS205" s="8">
        <v>2070</v>
      </c>
      <c r="AT205">
        <v>4766404</v>
      </c>
      <c r="AU205" s="8" t="s">
        <v>66</v>
      </c>
      <c r="AW205" s="8">
        <v>0</v>
      </c>
    </row>
    <row r="206" spans="1:49" x14ac:dyDescent="0.25">
      <c r="A206" t="s">
        <v>860</v>
      </c>
      <c r="B206">
        <v>4766404</v>
      </c>
      <c r="C206" t="s">
        <v>58</v>
      </c>
      <c r="D206">
        <v>19</v>
      </c>
      <c r="E206">
        <v>0</v>
      </c>
      <c r="F206">
        <v>9.24</v>
      </c>
      <c r="G206">
        <v>750</v>
      </c>
      <c r="J206" t="s">
        <v>857</v>
      </c>
      <c r="K206" s="8">
        <v>1</v>
      </c>
      <c r="L206" s="8">
        <v>1</v>
      </c>
      <c r="M206" t="str">
        <f t="shared" si="3"/>
        <v>Melamine-W990-Blanc cristal-ST9 19 mm</v>
      </c>
      <c r="N206" s="8">
        <v>0</v>
      </c>
      <c r="O206" s="8">
        <v>1</v>
      </c>
      <c r="P206" s="8">
        <v>0</v>
      </c>
      <c r="Q206" s="8" t="s">
        <v>61</v>
      </c>
      <c r="R206" s="8" t="s">
        <v>62</v>
      </c>
      <c r="AB206" t="s">
        <v>861</v>
      </c>
      <c r="AD206" t="s">
        <v>862</v>
      </c>
      <c r="AE206" s="8">
        <v>1</v>
      </c>
      <c r="AF206" s="8">
        <v>0</v>
      </c>
      <c r="AG206" s="8" t="s">
        <v>65</v>
      </c>
      <c r="AH206" s="8">
        <v>1</v>
      </c>
      <c r="AI206" s="8">
        <v>1</v>
      </c>
      <c r="AJ206" s="8">
        <v>1</v>
      </c>
      <c r="AK206" s="8">
        <v>1</v>
      </c>
      <c r="AR206" s="8">
        <v>2790</v>
      </c>
      <c r="AS206" s="8">
        <v>2070</v>
      </c>
      <c r="AT206">
        <v>4766404</v>
      </c>
      <c r="AU206" s="8" t="s">
        <v>66</v>
      </c>
      <c r="AW206" s="8">
        <v>0</v>
      </c>
    </row>
    <row r="207" spans="1:49" x14ac:dyDescent="0.25">
      <c r="A207" t="s">
        <v>863</v>
      </c>
      <c r="C207" t="s">
        <v>58</v>
      </c>
      <c r="D207">
        <v>19</v>
      </c>
      <c r="E207">
        <v>0</v>
      </c>
      <c r="F207">
        <v>6.98</v>
      </c>
      <c r="G207">
        <v>750</v>
      </c>
      <c r="J207" t="s">
        <v>864</v>
      </c>
      <c r="K207" s="8">
        <v>1</v>
      </c>
      <c r="L207" s="8">
        <v>1</v>
      </c>
      <c r="M207" t="str">
        <f t="shared" si="3"/>
        <v>Melamine-W908-SM 19 mm</v>
      </c>
      <c r="N207" s="8">
        <v>0</v>
      </c>
      <c r="O207" s="8">
        <v>1</v>
      </c>
      <c r="P207" s="8">
        <v>0</v>
      </c>
      <c r="Q207" s="8" t="s">
        <v>61</v>
      </c>
      <c r="R207" s="8" t="s">
        <v>62</v>
      </c>
      <c r="AB207" t="s">
        <v>865</v>
      </c>
      <c r="AD207" t="s">
        <v>852</v>
      </c>
      <c r="AE207" s="8">
        <v>1</v>
      </c>
      <c r="AF207" s="8">
        <v>0</v>
      </c>
      <c r="AG207" s="8" t="s">
        <v>65</v>
      </c>
      <c r="AH207" s="8">
        <v>1</v>
      </c>
      <c r="AI207" s="8">
        <v>1</v>
      </c>
      <c r="AJ207" s="8">
        <v>1</v>
      </c>
      <c r="AK207" s="8">
        <v>1</v>
      </c>
      <c r="AR207" s="8">
        <v>2790</v>
      </c>
      <c r="AS207" s="8">
        <v>2070</v>
      </c>
      <c r="AT207">
        <v>4830206</v>
      </c>
      <c r="AU207" s="8" t="s">
        <v>66</v>
      </c>
      <c r="AW207" s="8">
        <v>0</v>
      </c>
    </row>
    <row r="208" spans="1:49" x14ac:dyDescent="0.25">
      <c r="A208" t="s">
        <v>866</v>
      </c>
      <c r="C208" t="s">
        <v>58</v>
      </c>
      <c r="D208">
        <v>19</v>
      </c>
      <c r="E208">
        <v>0</v>
      </c>
      <c r="F208">
        <v>6.98</v>
      </c>
      <c r="G208">
        <v>750</v>
      </c>
      <c r="J208" t="s">
        <v>864</v>
      </c>
      <c r="K208" s="8">
        <v>1</v>
      </c>
      <c r="L208" s="8">
        <v>1</v>
      </c>
      <c r="M208" t="str">
        <f t="shared" si="3"/>
        <v>Melamine-W908-ST7 19 mm</v>
      </c>
      <c r="N208" s="8">
        <v>0</v>
      </c>
      <c r="O208" s="8">
        <v>1</v>
      </c>
      <c r="P208" s="8">
        <v>0</v>
      </c>
      <c r="Q208" s="8" t="s">
        <v>61</v>
      </c>
      <c r="R208" s="8" t="s">
        <v>62</v>
      </c>
      <c r="AB208" t="s">
        <v>867</v>
      </c>
      <c r="AD208" t="s">
        <v>855</v>
      </c>
      <c r="AE208" s="8">
        <v>1</v>
      </c>
      <c r="AF208" s="8">
        <v>0</v>
      </c>
      <c r="AG208" s="8" t="s">
        <v>65</v>
      </c>
      <c r="AH208" s="8">
        <v>1</v>
      </c>
      <c r="AI208" s="8">
        <v>1</v>
      </c>
      <c r="AJ208" s="8">
        <v>1</v>
      </c>
      <c r="AK208" s="8">
        <v>1</v>
      </c>
      <c r="AR208" s="8">
        <v>2790</v>
      </c>
      <c r="AS208" s="8">
        <v>2070</v>
      </c>
      <c r="AT208">
        <v>4830206</v>
      </c>
      <c r="AU208" s="8" t="s">
        <v>66</v>
      </c>
      <c r="AW208" s="8">
        <v>0</v>
      </c>
    </row>
    <row r="209" spans="1:49" x14ac:dyDescent="0.25">
      <c r="A209" t="s">
        <v>868</v>
      </c>
      <c r="B209">
        <v>7786427</v>
      </c>
      <c r="C209" t="s">
        <v>58</v>
      </c>
      <c r="D209">
        <v>19</v>
      </c>
      <c r="E209">
        <v>1</v>
      </c>
      <c r="F209">
        <v>11.26</v>
      </c>
      <c r="G209">
        <v>750</v>
      </c>
      <c r="J209" t="s">
        <v>869</v>
      </c>
      <c r="K209" s="8">
        <v>1</v>
      </c>
      <c r="L209" s="8">
        <v>1</v>
      </c>
      <c r="M209" t="str">
        <f t="shared" si="3"/>
        <v>Melamine-H1582-Hetre du Tyrol-ST15 19 mm</v>
      </c>
      <c r="N209" s="8">
        <v>0</v>
      </c>
      <c r="O209" s="8">
        <v>1</v>
      </c>
      <c r="P209" s="8">
        <v>0</v>
      </c>
      <c r="Q209" s="8" t="s">
        <v>61</v>
      </c>
      <c r="R209" s="8" t="s">
        <v>62</v>
      </c>
      <c r="AB209" t="s">
        <v>870</v>
      </c>
      <c r="AD209" t="s">
        <v>871</v>
      </c>
      <c r="AE209" s="8">
        <v>1</v>
      </c>
      <c r="AF209" s="8">
        <v>0</v>
      </c>
      <c r="AG209" s="8" t="s">
        <v>65</v>
      </c>
      <c r="AH209" s="8">
        <v>1</v>
      </c>
      <c r="AI209" s="8">
        <v>1</v>
      </c>
      <c r="AJ209" s="8">
        <v>1</v>
      </c>
      <c r="AK209" s="8">
        <v>1</v>
      </c>
      <c r="AR209" s="8">
        <v>2790</v>
      </c>
      <c r="AS209" s="8">
        <v>2070</v>
      </c>
      <c r="AT209">
        <v>7786427</v>
      </c>
      <c r="AU209" s="8" t="s">
        <v>66</v>
      </c>
      <c r="AW209" s="8">
        <v>0</v>
      </c>
    </row>
    <row r="210" spans="1:49" x14ac:dyDescent="0.25">
      <c r="A210" t="s">
        <v>872</v>
      </c>
      <c r="C210" t="s">
        <v>873</v>
      </c>
      <c r="D210">
        <v>19</v>
      </c>
      <c r="E210">
        <v>0</v>
      </c>
      <c r="F210">
        <v>25.32</v>
      </c>
      <c r="G210">
        <v>750</v>
      </c>
      <c r="J210" t="s">
        <v>600</v>
      </c>
      <c r="K210" s="8">
        <v>1</v>
      </c>
      <c r="L210" s="8">
        <v>1</v>
      </c>
      <c r="M210" t="str">
        <f t="shared" si="3"/>
        <v>Mdf-U399-Rouge grenat-PM</v>
      </c>
      <c r="N210" s="8">
        <v>0</v>
      </c>
      <c r="O210" s="8">
        <v>1</v>
      </c>
      <c r="P210" s="8">
        <v>0</v>
      </c>
      <c r="Q210" s="8" t="s">
        <v>61</v>
      </c>
      <c r="R210" s="8" t="s">
        <v>62</v>
      </c>
      <c r="AB210" t="s">
        <v>874</v>
      </c>
      <c r="AD210" t="s">
        <v>875</v>
      </c>
      <c r="AE210" s="8">
        <v>1</v>
      </c>
      <c r="AF210" s="8">
        <v>0</v>
      </c>
      <c r="AG210" s="8" t="s">
        <v>65</v>
      </c>
      <c r="AH210" s="8">
        <v>1</v>
      </c>
      <c r="AI210" s="8">
        <v>1</v>
      </c>
      <c r="AJ210" s="8">
        <v>1</v>
      </c>
      <c r="AK210" s="8">
        <v>1</v>
      </c>
      <c r="AR210" s="8">
        <v>2790</v>
      </c>
      <c r="AS210" s="8">
        <v>2070</v>
      </c>
      <c r="AT210">
        <v>4766418</v>
      </c>
      <c r="AU210" s="8" t="s">
        <v>66</v>
      </c>
      <c r="AW210" s="8">
        <v>1</v>
      </c>
    </row>
    <row r="211" spans="1:49" x14ac:dyDescent="0.25">
      <c r="A211" t="s">
        <v>876</v>
      </c>
      <c r="C211" t="s">
        <v>873</v>
      </c>
      <c r="D211">
        <v>19</v>
      </c>
      <c r="E211">
        <v>0</v>
      </c>
      <c r="F211">
        <v>25.32</v>
      </c>
      <c r="G211">
        <v>750</v>
      </c>
      <c r="J211" t="s">
        <v>660</v>
      </c>
      <c r="K211" s="8">
        <v>1</v>
      </c>
      <c r="L211" s="8">
        <v>1</v>
      </c>
      <c r="M211" t="str">
        <f t="shared" si="3"/>
        <v>Mdf-U599-Bleu indigo-PM</v>
      </c>
      <c r="N211" s="8">
        <v>0</v>
      </c>
      <c r="O211" s="8">
        <v>1</v>
      </c>
      <c r="P211" s="8">
        <v>0</v>
      </c>
      <c r="Q211" s="8" t="s">
        <v>61</v>
      </c>
      <c r="R211" s="8" t="s">
        <v>62</v>
      </c>
      <c r="AB211" t="s">
        <v>877</v>
      </c>
      <c r="AD211" t="s">
        <v>878</v>
      </c>
      <c r="AE211" s="8">
        <v>1</v>
      </c>
      <c r="AF211" s="8">
        <v>0</v>
      </c>
      <c r="AG211" s="8" t="s">
        <v>65</v>
      </c>
      <c r="AH211" s="8">
        <v>1</v>
      </c>
      <c r="AI211" s="8">
        <v>1</v>
      </c>
      <c r="AJ211" s="8">
        <v>1</v>
      </c>
      <c r="AK211" s="8">
        <v>1</v>
      </c>
      <c r="AR211" s="8">
        <v>2790</v>
      </c>
      <c r="AS211" s="8">
        <v>2070</v>
      </c>
      <c r="AT211">
        <v>7789910</v>
      </c>
      <c r="AU211" s="8" t="s">
        <v>66</v>
      </c>
      <c r="AW211" s="8">
        <v>1</v>
      </c>
    </row>
    <row r="212" spans="1:49" x14ac:dyDescent="0.25">
      <c r="A212" t="s">
        <v>879</v>
      </c>
      <c r="C212" t="s">
        <v>873</v>
      </c>
      <c r="D212">
        <v>19</v>
      </c>
      <c r="E212">
        <v>0</v>
      </c>
      <c r="F212">
        <v>25.32</v>
      </c>
      <c r="G212">
        <v>750</v>
      </c>
      <c r="J212" t="s">
        <v>708</v>
      </c>
      <c r="K212" s="8">
        <v>1</v>
      </c>
      <c r="L212" s="8">
        <v>1</v>
      </c>
      <c r="M212" t="str">
        <f t="shared" si="3"/>
        <v>Mdf-U665-Vert mineral-PM</v>
      </c>
      <c r="N212" s="8">
        <v>0</v>
      </c>
      <c r="O212" s="8">
        <v>1</v>
      </c>
      <c r="P212" s="8">
        <v>0</v>
      </c>
      <c r="Q212" s="8" t="s">
        <v>61</v>
      </c>
      <c r="R212" s="8" t="s">
        <v>62</v>
      </c>
      <c r="AB212" t="s">
        <v>880</v>
      </c>
      <c r="AD212" t="s">
        <v>881</v>
      </c>
      <c r="AE212" s="8">
        <v>1</v>
      </c>
      <c r="AF212" s="8">
        <v>0</v>
      </c>
      <c r="AG212" s="8" t="s">
        <v>65</v>
      </c>
      <c r="AH212" s="8">
        <v>1</v>
      </c>
      <c r="AI212" s="8">
        <v>1</v>
      </c>
      <c r="AJ212" s="8">
        <v>1</v>
      </c>
      <c r="AK212" s="8">
        <v>1</v>
      </c>
      <c r="AR212" s="8">
        <v>2790</v>
      </c>
      <c r="AS212" s="8">
        <v>2070</v>
      </c>
      <c r="AT212">
        <v>4766422</v>
      </c>
      <c r="AU212" s="8" t="s">
        <v>66</v>
      </c>
      <c r="AW212" s="8">
        <v>1</v>
      </c>
    </row>
    <row r="213" spans="1:49" x14ac:dyDescent="0.25">
      <c r="A213" t="s">
        <v>882</v>
      </c>
      <c r="C213" t="s">
        <v>873</v>
      </c>
      <c r="D213">
        <v>19</v>
      </c>
      <c r="E213">
        <v>0</v>
      </c>
      <c r="F213">
        <v>25.32</v>
      </c>
      <c r="G213">
        <v>750</v>
      </c>
      <c r="J213" t="s">
        <v>716</v>
      </c>
      <c r="K213" s="8">
        <v>1</v>
      </c>
      <c r="L213" s="8">
        <v>1</v>
      </c>
      <c r="M213" t="str">
        <f t="shared" si="3"/>
        <v>Mdf-U702-Gris cachemire-PG</v>
      </c>
      <c r="N213" s="8">
        <v>0</v>
      </c>
      <c r="O213" s="8">
        <v>1</v>
      </c>
      <c r="P213" s="8">
        <v>0</v>
      </c>
      <c r="Q213" s="8" t="s">
        <v>61</v>
      </c>
      <c r="R213" s="8" t="s">
        <v>62</v>
      </c>
      <c r="AB213" t="s">
        <v>883</v>
      </c>
      <c r="AD213" t="s">
        <v>884</v>
      </c>
      <c r="AE213" s="8">
        <v>1</v>
      </c>
      <c r="AF213" s="8">
        <v>0</v>
      </c>
      <c r="AG213" s="8" t="s">
        <v>65</v>
      </c>
      <c r="AH213" s="8">
        <v>1</v>
      </c>
      <c r="AI213" s="8">
        <v>1</v>
      </c>
      <c r="AJ213" s="8">
        <v>1</v>
      </c>
      <c r="AK213" s="8">
        <v>1</v>
      </c>
      <c r="AR213" s="8">
        <v>2790</v>
      </c>
      <c r="AS213" s="8">
        <v>2070</v>
      </c>
      <c r="AT213">
        <v>7789903</v>
      </c>
      <c r="AU213" s="8" t="s">
        <v>66</v>
      </c>
      <c r="AW213" s="8">
        <v>1</v>
      </c>
    </row>
    <row r="214" spans="1:49" x14ac:dyDescent="0.25">
      <c r="A214" t="s">
        <v>885</v>
      </c>
      <c r="C214" t="s">
        <v>873</v>
      </c>
      <c r="D214">
        <v>19</v>
      </c>
      <c r="E214">
        <v>0</v>
      </c>
      <c r="F214">
        <v>25.32</v>
      </c>
      <c r="G214">
        <v>750</v>
      </c>
      <c r="J214" t="s">
        <v>716</v>
      </c>
      <c r="K214" s="8">
        <v>1</v>
      </c>
      <c r="L214" s="8">
        <v>1</v>
      </c>
      <c r="M214" t="str">
        <f t="shared" si="3"/>
        <v>Mdf-U702-Gris cachemire-PM</v>
      </c>
      <c r="N214" s="8">
        <v>0</v>
      </c>
      <c r="O214" s="8">
        <v>1</v>
      </c>
      <c r="P214" s="8">
        <v>0</v>
      </c>
      <c r="Q214" s="8" t="s">
        <v>61</v>
      </c>
      <c r="R214" s="8" t="s">
        <v>62</v>
      </c>
      <c r="AB214" t="s">
        <v>886</v>
      </c>
      <c r="AD214" t="s">
        <v>887</v>
      </c>
      <c r="AE214" s="8">
        <v>1</v>
      </c>
      <c r="AF214" s="8">
        <v>0</v>
      </c>
      <c r="AG214" s="8" t="s">
        <v>65</v>
      </c>
      <c r="AH214" s="8">
        <v>1</v>
      </c>
      <c r="AI214" s="8">
        <v>1</v>
      </c>
      <c r="AJ214" s="8">
        <v>1</v>
      </c>
      <c r="AK214" s="8">
        <v>1</v>
      </c>
      <c r="AR214" s="8">
        <v>2790</v>
      </c>
      <c r="AS214" s="8">
        <v>2070</v>
      </c>
      <c r="AT214">
        <v>7730829</v>
      </c>
      <c r="AU214" s="8" t="s">
        <v>66</v>
      </c>
      <c r="AW214" s="8">
        <v>1</v>
      </c>
    </row>
    <row r="215" spans="1:49" x14ac:dyDescent="0.25">
      <c r="A215" t="s">
        <v>888</v>
      </c>
      <c r="C215" t="s">
        <v>873</v>
      </c>
      <c r="D215">
        <v>19</v>
      </c>
      <c r="E215">
        <v>0</v>
      </c>
      <c r="F215">
        <v>25.32</v>
      </c>
      <c r="G215">
        <v>750</v>
      </c>
      <c r="J215" t="s">
        <v>720</v>
      </c>
      <c r="K215" s="8">
        <v>1</v>
      </c>
      <c r="L215" s="8">
        <v>1</v>
      </c>
      <c r="M215" t="str">
        <f t="shared" si="3"/>
        <v>Mdf-U705-Gris angora-PM</v>
      </c>
      <c r="N215" s="8">
        <v>0</v>
      </c>
      <c r="O215" s="8">
        <v>1</v>
      </c>
      <c r="P215" s="8">
        <v>0</v>
      </c>
      <c r="Q215" s="8" t="s">
        <v>61</v>
      </c>
      <c r="R215" s="8" t="s">
        <v>62</v>
      </c>
      <c r="AB215" t="s">
        <v>889</v>
      </c>
      <c r="AD215" t="s">
        <v>890</v>
      </c>
      <c r="AE215" s="8">
        <v>1</v>
      </c>
      <c r="AF215" s="8">
        <v>0</v>
      </c>
      <c r="AG215" s="8" t="s">
        <v>65</v>
      </c>
      <c r="AH215" s="8">
        <v>1</v>
      </c>
      <c r="AI215" s="8">
        <v>1</v>
      </c>
      <c r="AJ215" s="8">
        <v>1</v>
      </c>
      <c r="AK215" s="8">
        <v>1</v>
      </c>
      <c r="AR215" s="8">
        <v>2790</v>
      </c>
      <c r="AS215" s="8">
        <v>2070</v>
      </c>
      <c r="AT215">
        <v>4766426</v>
      </c>
      <c r="AU215" s="8" t="s">
        <v>66</v>
      </c>
      <c r="AW215" s="8">
        <v>1</v>
      </c>
    </row>
    <row r="216" spans="1:49" x14ac:dyDescent="0.25">
      <c r="A216" t="s">
        <v>891</v>
      </c>
      <c r="C216" t="s">
        <v>873</v>
      </c>
      <c r="D216">
        <v>19</v>
      </c>
      <c r="E216">
        <v>0</v>
      </c>
      <c r="F216">
        <v>25.32</v>
      </c>
      <c r="G216">
        <v>750</v>
      </c>
      <c r="J216" t="s">
        <v>728</v>
      </c>
      <c r="K216" s="8">
        <v>1</v>
      </c>
      <c r="L216" s="8">
        <v>1</v>
      </c>
      <c r="M216" t="str">
        <f t="shared" si="3"/>
        <v>Mdf-U708-Gris clair-PG</v>
      </c>
      <c r="N216" s="8">
        <v>0</v>
      </c>
      <c r="O216" s="8">
        <v>1</v>
      </c>
      <c r="P216" s="8">
        <v>0</v>
      </c>
      <c r="Q216" s="8" t="s">
        <v>61</v>
      </c>
      <c r="R216" s="8" t="s">
        <v>62</v>
      </c>
      <c r="AB216" t="s">
        <v>892</v>
      </c>
      <c r="AD216" t="s">
        <v>893</v>
      </c>
      <c r="AE216" s="8">
        <v>1</v>
      </c>
      <c r="AF216" s="8">
        <v>0</v>
      </c>
      <c r="AG216" s="8" t="s">
        <v>65</v>
      </c>
      <c r="AH216" s="8">
        <v>1</v>
      </c>
      <c r="AI216" s="8">
        <v>1</v>
      </c>
      <c r="AJ216" s="8">
        <v>1</v>
      </c>
      <c r="AK216" s="8">
        <v>1</v>
      </c>
      <c r="AR216" s="8">
        <v>2790</v>
      </c>
      <c r="AS216" s="8">
        <v>2070</v>
      </c>
      <c r="AT216">
        <v>7789904</v>
      </c>
      <c r="AU216" s="8" t="s">
        <v>66</v>
      </c>
      <c r="AW216" s="8">
        <v>1</v>
      </c>
    </row>
    <row r="217" spans="1:49" x14ac:dyDescent="0.25">
      <c r="A217" t="s">
        <v>894</v>
      </c>
      <c r="C217" t="s">
        <v>873</v>
      </c>
      <c r="D217">
        <v>19</v>
      </c>
      <c r="E217">
        <v>0</v>
      </c>
      <c r="F217">
        <v>25.32</v>
      </c>
      <c r="G217">
        <v>750</v>
      </c>
      <c r="J217" t="s">
        <v>728</v>
      </c>
      <c r="K217" s="8">
        <v>1</v>
      </c>
      <c r="L217" s="8">
        <v>1</v>
      </c>
      <c r="M217" t="str">
        <f t="shared" si="3"/>
        <v>Mdf-U708-Gris clair-PM</v>
      </c>
      <c r="N217" s="8">
        <v>0</v>
      </c>
      <c r="O217" s="8">
        <v>1</v>
      </c>
      <c r="P217" s="8">
        <v>0</v>
      </c>
      <c r="Q217" s="8" t="s">
        <v>61</v>
      </c>
      <c r="R217" s="8" t="s">
        <v>62</v>
      </c>
      <c r="AB217" t="s">
        <v>895</v>
      </c>
      <c r="AD217" t="s">
        <v>896</v>
      </c>
      <c r="AE217" s="8">
        <v>1</v>
      </c>
      <c r="AF217" s="8">
        <v>0</v>
      </c>
      <c r="AG217" s="8" t="s">
        <v>65</v>
      </c>
      <c r="AH217" s="8">
        <v>1</v>
      </c>
      <c r="AI217" s="8">
        <v>1</v>
      </c>
      <c r="AJ217" s="8">
        <v>1</v>
      </c>
      <c r="AK217" s="8">
        <v>1</v>
      </c>
      <c r="AR217" s="8">
        <v>2790</v>
      </c>
      <c r="AS217" s="8">
        <v>2070</v>
      </c>
      <c r="AT217">
        <v>7730830</v>
      </c>
      <c r="AU217" s="8" t="s">
        <v>66</v>
      </c>
      <c r="AW217" s="8">
        <v>1</v>
      </c>
    </row>
    <row r="218" spans="1:49" x14ac:dyDescent="0.25">
      <c r="A218" t="s">
        <v>897</v>
      </c>
      <c r="C218" t="s">
        <v>873</v>
      </c>
      <c r="D218">
        <v>19</v>
      </c>
      <c r="E218">
        <v>0</v>
      </c>
      <c r="F218">
        <v>25.32</v>
      </c>
      <c r="G218">
        <v>750</v>
      </c>
      <c r="J218" t="s">
        <v>736</v>
      </c>
      <c r="K218" s="8">
        <v>1</v>
      </c>
      <c r="L218" s="8">
        <v>1</v>
      </c>
      <c r="M218" t="str">
        <f t="shared" si="3"/>
        <v>Mdf-U732-Gris macadam-PG</v>
      </c>
      <c r="N218" s="8">
        <v>0</v>
      </c>
      <c r="O218" s="8">
        <v>1</v>
      </c>
      <c r="P218" s="8">
        <v>0</v>
      </c>
      <c r="Q218" s="8" t="s">
        <v>61</v>
      </c>
      <c r="R218" s="8" t="s">
        <v>62</v>
      </c>
      <c r="AB218" t="s">
        <v>898</v>
      </c>
      <c r="AD218" t="s">
        <v>899</v>
      </c>
      <c r="AE218" s="8">
        <v>1</v>
      </c>
      <c r="AF218" s="8">
        <v>0</v>
      </c>
      <c r="AG218" s="8" t="s">
        <v>65</v>
      </c>
      <c r="AH218" s="8">
        <v>1</v>
      </c>
      <c r="AI218" s="8">
        <v>1</v>
      </c>
      <c r="AJ218" s="8">
        <v>1</v>
      </c>
      <c r="AK218" s="8">
        <v>1</v>
      </c>
      <c r="AR218" s="8">
        <v>2790</v>
      </c>
      <c r="AS218" s="8">
        <v>2070</v>
      </c>
      <c r="AT218">
        <v>7730826</v>
      </c>
      <c r="AU218" s="8" t="s">
        <v>66</v>
      </c>
      <c r="AW218" s="8">
        <v>1</v>
      </c>
    </row>
    <row r="219" spans="1:49" x14ac:dyDescent="0.25">
      <c r="A219" t="s">
        <v>900</v>
      </c>
      <c r="C219" t="s">
        <v>873</v>
      </c>
      <c r="D219">
        <v>19</v>
      </c>
      <c r="E219">
        <v>0</v>
      </c>
      <c r="F219">
        <v>25.32</v>
      </c>
      <c r="G219">
        <v>750</v>
      </c>
      <c r="J219" t="s">
        <v>736</v>
      </c>
      <c r="K219" s="8">
        <v>1</v>
      </c>
      <c r="L219" s="8">
        <v>1</v>
      </c>
      <c r="M219" t="str">
        <f t="shared" si="3"/>
        <v>Mdf-U732-Gris macadam-PM</v>
      </c>
      <c r="N219" s="8">
        <v>0</v>
      </c>
      <c r="O219" s="8">
        <v>1</v>
      </c>
      <c r="P219" s="8">
        <v>0</v>
      </c>
      <c r="Q219" s="8" t="s">
        <v>61</v>
      </c>
      <c r="R219" s="8" t="s">
        <v>62</v>
      </c>
      <c r="AB219" t="s">
        <v>901</v>
      </c>
      <c r="AD219" t="s">
        <v>902</v>
      </c>
      <c r="AE219" s="8">
        <v>1</v>
      </c>
      <c r="AF219" s="8">
        <v>0</v>
      </c>
      <c r="AG219" s="8" t="s">
        <v>65</v>
      </c>
      <c r="AH219" s="8">
        <v>1</v>
      </c>
      <c r="AI219" s="8">
        <v>1</v>
      </c>
      <c r="AJ219" s="8">
        <v>1</v>
      </c>
      <c r="AK219" s="8">
        <v>1</v>
      </c>
      <c r="AR219" s="8">
        <v>2790</v>
      </c>
      <c r="AS219" s="8">
        <v>2070</v>
      </c>
      <c r="AT219">
        <v>7730832</v>
      </c>
      <c r="AU219" s="8" t="s">
        <v>66</v>
      </c>
      <c r="AW219" s="8">
        <v>1</v>
      </c>
    </row>
    <row r="220" spans="1:49" x14ac:dyDescent="0.25">
      <c r="A220" t="s">
        <v>903</v>
      </c>
      <c r="C220" t="s">
        <v>873</v>
      </c>
      <c r="D220">
        <v>19</v>
      </c>
      <c r="E220">
        <v>0</v>
      </c>
      <c r="F220">
        <v>25.32</v>
      </c>
      <c r="G220">
        <v>750</v>
      </c>
      <c r="J220" t="s">
        <v>760</v>
      </c>
      <c r="K220" s="8">
        <v>1</v>
      </c>
      <c r="L220" s="8">
        <v>1</v>
      </c>
      <c r="M220" t="str">
        <f t="shared" si="3"/>
        <v>Mdf-U767-Gris cubanite-PM</v>
      </c>
      <c r="N220" s="8">
        <v>0</v>
      </c>
      <c r="O220" s="8">
        <v>1</v>
      </c>
      <c r="P220" s="8">
        <v>0</v>
      </c>
      <c r="Q220" s="8" t="s">
        <v>61</v>
      </c>
      <c r="R220" s="8" t="s">
        <v>62</v>
      </c>
      <c r="AB220" t="s">
        <v>904</v>
      </c>
      <c r="AD220" t="s">
        <v>905</v>
      </c>
      <c r="AE220" s="8">
        <v>1</v>
      </c>
      <c r="AF220" s="8">
        <v>0</v>
      </c>
      <c r="AG220" s="8" t="s">
        <v>65</v>
      </c>
      <c r="AH220" s="8">
        <v>1</v>
      </c>
      <c r="AI220" s="8">
        <v>1</v>
      </c>
      <c r="AJ220" s="8">
        <v>1</v>
      </c>
      <c r="AK220" s="8">
        <v>1</v>
      </c>
      <c r="AR220" s="8">
        <v>2790</v>
      </c>
      <c r="AS220" s="8">
        <v>2070</v>
      </c>
      <c r="AT220">
        <v>4766430</v>
      </c>
      <c r="AU220" s="8" t="s">
        <v>66</v>
      </c>
      <c r="AW220" s="8">
        <v>1</v>
      </c>
    </row>
    <row r="221" spans="1:49" x14ac:dyDescent="0.25">
      <c r="A221" t="s">
        <v>906</v>
      </c>
      <c r="C221" t="s">
        <v>873</v>
      </c>
      <c r="D221">
        <v>19</v>
      </c>
      <c r="E221">
        <v>0</v>
      </c>
      <c r="F221">
        <v>25.32</v>
      </c>
      <c r="G221">
        <v>750</v>
      </c>
      <c r="J221" t="s">
        <v>792</v>
      </c>
      <c r="K221" s="8">
        <v>1</v>
      </c>
      <c r="L221" s="8">
        <v>1</v>
      </c>
      <c r="M221" t="str">
        <f t="shared" si="3"/>
        <v>Mdf-U961-Gris graphite-PM</v>
      </c>
      <c r="N221" s="8">
        <v>0</v>
      </c>
      <c r="O221" s="8">
        <v>1</v>
      </c>
      <c r="P221" s="8">
        <v>0</v>
      </c>
      <c r="Q221" s="8" t="s">
        <v>61</v>
      </c>
      <c r="R221" s="8" t="s">
        <v>62</v>
      </c>
      <c r="AB221" t="s">
        <v>907</v>
      </c>
      <c r="AD221" t="s">
        <v>908</v>
      </c>
      <c r="AE221" s="8">
        <v>1</v>
      </c>
      <c r="AF221" s="8">
        <v>0</v>
      </c>
      <c r="AG221" s="8" t="s">
        <v>65</v>
      </c>
      <c r="AH221" s="8">
        <v>1</v>
      </c>
      <c r="AI221" s="8">
        <v>1</v>
      </c>
      <c r="AJ221" s="8">
        <v>1</v>
      </c>
      <c r="AK221" s="8">
        <v>1</v>
      </c>
      <c r="AR221" s="8">
        <v>2790</v>
      </c>
      <c r="AS221" s="8">
        <v>2070</v>
      </c>
      <c r="AT221">
        <v>7730835</v>
      </c>
      <c r="AU221" s="8" t="s">
        <v>66</v>
      </c>
      <c r="AW221" s="8">
        <v>1</v>
      </c>
    </row>
    <row r="222" spans="1:49" x14ac:dyDescent="0.25">
      <c r="A222" t="s">
        <v>909</v>
      </c>
      <c r="C222" t="s">
        <v>873</v>
      </c>
      <c r="D222">
        <v>19</v>
      </c>
      <c r="E222">
        <v>0</v>
      </c>
      <c r="F222">
        <v>25.32</v>
      </c>
      <c r="G222">
        <v>750</v>
      </c>
      <c r="J222" t="s">
        <v>812</v>
      </c>
      <c r="K222" s="8">
        <v>1</v>
      </c>
      <c r="L222" s="8">
        <v>1</v>
      </c>
      <c r="M222" t="str">
        <f t="shared" si="3"/>
        <v>Mdf-U999-Noir-PG</v>
      </c>
      <c r="N222" s="8">
        <v>0</v>
      </c>
      <c r="O222" s="8">
        <v>1</v>
      </c>
      <c r="P222" s="8">
        <v>0</v>
      </c>
      <c r="Q222" s="8" t="s">
        <v>61</v>
      </c>
      <c r="R222" s="8" t="s">
        <v>62</v>
      </c>
      <c r="AB222" t="s">
        <v>910</v>
      </c>
      <c r="AD222" t="s">
        <v>911</v>
      </c>
      <c r="AE222" s="8">
        <v>1</v>
      </c>
      <c r="AF222" s="8">
        <v>0</v>
      </c>
      <c r="AG222" s="8" t="s">
        <v>65</v>
      </c>
      <c r="AH222" s="8">
        <v>1</v>
      </c>
      <c r="AI222" s="8">
        <v>1</v>
      </c>
      <c r="AJ222" s="8">
        <v>1</v>
      </c>
      <c r="AK222" s="8">
        <v>1</v>
      </c>
      <c r="AR222" s="8">
        <v>2790</v>
      </c>
      <c r="AS222" s="8">
        <v>2070</v>
      </c>
      <c r="AT222">
        <v>7730824</v>
      </c>
      <c r="AU222" s="8" t="s">
        <v>66</v>
      </c>
      <c r="AW222" s="8">
        <v>1</v>
      </c>
    </row>
    <row r="223" spans="1:49" x14ac:dyDescent="0.25">
      <c r="A223" t="s">
        <v>912</v>
      </c>
      <c r="C223" t="s">
        <v>873</v>
      </c>
      <c r="D223">
        <v>19</v>
      </c>
      <c r="E223">
        <v>0</v>
      </c>
      <c r="F223">
        <v>25.32</v>
      </c>
      <c r="G223">
        <v>750</v>
      </c>
      <c r="J223" t="s">
        <v>812</v>
      </c>
      <c r="K223" s="8">
        <v>1</v>
      </c>
      <c r="L223" s="8">
        <v>1</v>
      </c>
      <c r="M223" t="str">
        <f t="shared" si="3"/>
        <v>Mdf-U999-Noir-PM</v>
      </c>
      <c r="N223" s="8">
        <v>0</v>
      </c>
      <c r="O223" s="8">
        <v>1</v>
      </c>
      <c r="P223" s="8">
        <v>0</v>
      </c>
      <c r="Q223" s="8" t="s">
        <v>61</v>
      </c>
      <c r="R223" s="8" t="s">
        <v>62</v>
      </c>
      <c r="AB223" t="s">
        <v>913</v>
      </c>
      <c r="AD223" t="s">
        <v>914</v>
      </c>
      <c r="AE223" s="8">
        <v>1</v>
      </c>
      <c r="AF223" s="8">
        <v>0</v>
      </c>
      <c r="AG223" s="8" t="s">
        <v>65</v>
      </c>
      <c r="AH223" s="8">
        <v>1</v>
      </c>
      <c r="AI223" s="8">
        <v>1</v>
      </c>
      <c r="AJ223" s="8">
        <v>1</v>
      </c>
      <c r="AK223" s="8">
        <v>1</v>
      </c>
      <c r="AR223" s="8">
        <v>2790</v>
      </c>
      <c r="AS223" s="8">
        <v>2070</v>
      </c>
      <c r="AT223">
        <v>7730833</v>
      </c>
      <c r="AU223" s="8" t="s">
        <v>66</v>
      </c>
      <c r="AW223" s="8">
        <v>1</v>
      </c>
    </row>
    <row r="224" spans="1:49" x14ac:dyDescent="0.25">
      <c r="A224" t="s">
        <v>915</v>
      </c>
      <c r="C224" t="s">
        <v>873</v>
      </c>
      <c r="D224">
        <v>19</v>
      </c>
      <c r="E224">
        <v>0</v>
      </c>
      <c r="F224">
        <v>25.32</v>
      </c>
      <c r="G224">
        <v>750</v>
      </c>
      <c r="J224" t="s">
        <v>825</v>
      </c>
      <c r="K224" s="8">
        <v>1</v>
      </c>
      <c r="L224" s="8">
        <v>1</v>
      </c>
      <c r="M224" t="str">
        <f t="shared" si="3"/>
        <v>Mdf-W1000-Blanc premium-PM</v>
      </c>
      <c r="N224" s="8">
        <v>0</v>
      </c>
      <c r="O224" s="8">
        <v>1</v>
      </c>
      <c r="P224" s="8">
        <v>0</v>
      </c>
      <c r="Q224" s="8" t="s">
        <v>61</v>
      </c>
      <c r="R224" s="8" t="s">
        <v>62</v>
      </c>
      <c r="AB224" t="s">
        <v>916</v>
      </c>
      <c r="AD224" t="s">
        <v>917</v>
      </c>
      <c r="AE224" s="8">
        <v>1</v>
      </c>
      <c r="AF224" s="8">
        <v>0</v>
      </c>
      <c r="AG224" s="8" t="s">
        <v>65</v>
      </c>
      <c r="AH224" s="8">
        <v>1</v>
      </c>
      <c r="AI224" s="8">
        <v>1</v>
      </c>
      <c r="AJ224" s="8">
        <v>1</v>
      </c>
      <c r="AK224" s="8">
        <v>1</v>
      </c>
      <c r="AR224" s="8">
        <v>2790</v>
      </c>
      <c r="AS224" s="8">
        <v>2070</v>
      </c>
      <c r="AT224">
        <v>7730834</v>
      </c>
      <c r="AU224" s="8" t="s">
        <v>66</v>
      </c>
      <c r="AW224" s="8">
        <v>1</v>
      </c>
    </row>
    <row r="225" spans="1:49" x14ac:dyDescent="0.25">
      <c r="A225" t="s">
        <v>918</v>
      </c>
      <c r="C225" t="s">
        <v>873</v>
      </c>
      <c r="D225">
        <v>19</v>
      </c>
      <c r="E225">
        <v>0</v>
      </c>
      <c r="F225">
        <v>25.32</v>
      </c>
      <c r="G225">
        <v>750</v>
      </c>
      <c r="J225" t="s">
        <v>835</v>
      </c>
      <c r="K225" s="8">
        <v>1</v>
      </c>
      <c r="L225" s="8">
        <v>1</v>
      </c>
      <c r="M225" t="str">
        <f t="shared" si="3"/>
        <v>Mdf-W1100-Blanc alpin-PG</v>
      </c>
      <c r="N225" s="8">
        <v>0</v>
      </c>
      <c r="O225" s="8">
        <v>1</v>
      </c>
      <c r="P225" s="8">
        <v>0</v>
      </c>
      <c r="Q225" s="8" t="s">
        <v>61</v>
      </c>
      <c r="R225" s="8" t="s">
        <v>62</v>
      </c>
      <c r="AB225" t="s">
        <v>919</v>
      </c>
      <c r="AD225" t="s">
        <v>920</v>
      </c>
      <c r="AE225" s="8">
        <v>1</v>
      </c>
      <c r="AF225" s="8">
        <v>0</v>
      </c>
      <c r="AG225" s="8" t="s">
        <v>65</v>
      </c>
      <c r="AH225" s="8">
        <v>1</v>
      </c>
      <c r="AI225" s="8">
        <v>1</v>
      </c>
      <c r="AJ225" s="8">
        <v>1</v>
      </c>
      <c r="AK225" s="8">
        <v>1</v>
      </c>
      <c r="AR225" s="8">
        <v>2790</v>
      </c>
      <c r="AS225" s="8">
        <v>2070</v>
      </c>
      <c r="AT225">
        <v>7730828</v>
      </c>
      <c r="AU225" s="8" t="s">
        <v>66</v>
      </c>
      <c r="AW225" s="8">
        <v>1</v>
      </c>
    </row>
    <row r="226" spans="1:49" x14ac:dyDescent="0.25">
      <c r="A226" t="s">
        <v>921</v>
      </c>
      <c r="C226" t="s">
        <v>873</v>
      </c>
      <c r="D226">
        <v>19</v>
      </c>
      <c r="E226">
        <v>0</v>
      </c>
      <c r="F226">
        <v>25.32</v>
      </c>
      <c r="G226">
        <v>750</v>
      </c>
      <c r="J226" t="s">
        <v>835</v>
      </c>
      <c r="K226" s="8">
        <v>1</v>
      </c>
      <c r="L226" s="8">
        <v>1</v>
      </c>
      <c r="M226" t="str">
        <f t="shared" si="3"/>
        <v>Mdf-W1100-Blanc alpin-PM</v>
      </c>
      <c r="N226" s="8">
        <v>0</v>
      </c>
      <c r="O226" s="8">
        <v>1</v>
      </c>
      <c r="P226" s="8">
        <v>0</v>
      </c>
      <c r="Q226" s="8" t="s">
        <v>61</v>
      </c>
      <c r="R226" s="8" t="s">
        <v>62</v>
      </c>
      <c r="AB226" t="s">
        <v>922</v>
      </c>
      <c r="AD226" t="s">
        <v>923</v>
      </c>
      <c r="AE226" s="8">
        <v>1</v>
      </c>
      <c r="AF226" s="8">
        <v>0</v>
      </c>
      <c r="AG226" s="8" t="s">
        <v>65</v>
      </c>
      <c r="AH226" s="8">
        <v>1</v>
      </c>
      <c r="AI226" s="8">
        <v>1</v>
      </c>
      <c r="AJ226" s="8">
        <v>1</v>
      </c>
      <c r="AK226" s="8">
        <v>1</v>
      </c>
      <c r="AR226" s="8">
        <v>2790</v>
      </c>
      <c r="AS226" s="8">
        <v>2070</v>
      </c>
      <c r="AT226">
        <v>7730836</v>
      </c>
      <c r="AU226" s="8" t="s">
        <v>66</v>
      </c>
      <c r="AW226" s="8">
        <v>1</v>
      </c>
    </row>
    <row r="227" spans="1:49" x14ac:dyDescent="0.25">
      <c r="A227" t="s">
        <v>924</v>
      </c>
      <c r="B227">
        <v>4765989</v>
      </c>
      <c r="C227" t="s">
        <v>873</v>
      </c>
      <c r="D227">
        <v>19</v>
      </c>
      <c r="E227">
        <v>1</v>
      </c>
      <c r="F227">
        <v>27.75</v>
      </c>
      <c r="G227">
        <v>750</v>
      </c>
      <c r="J227" t="s">
        <v>925</v>
      </c>
      <c r="K227" s="8">
        <v>1</v>
      </c>
      <c r="L227" s="8">
        <v>1</v>
      </c>
      <c r="M227" t="str">
        <f t="shared" si="3"/>
        <v>Melamine-H1204-Frene Lugano naturel clair-TM22 19 mm</v>
      </c>
      <c r="N227" s="8">
        <v>1</v>
      </c>
      <c r="O227" s="8">
        <v>1</v>
      </c>
      <c r="P227" s="8">
        <v>0</v>
      </c>
      <c r="Q227" s="8" t="s">
        <v>61</v>
      </c>
      <c r="R227" s="8" t="s">
        <v>62</v>
      </c>
      <c r="AB227" t="s">
        <v>926</v>
      </c>
      <c r="AD227" t="s">
        <v>927</v>
      </c>
      <c r="AE227" s="8">
        <v>1</v>
      </c>
      <c r="AF227" s="8">
        <v>0</v>
      </c>
      <c r="AG227" s="8" t="s">
        <v>65</v>
      </c>
      <c r="AH227" s="8">
        <v>1</v>
      </c>
      <c r="AI227" s="8">
        <v>1</v>
      </c>
      <c r="AJ227" s="8">
        <v>1</v>
      </c>
      <c r="AK227" s="8">
        <v>1</v>
      </c>
      <c r="AR227" s="8">
        <v>2790</v>
      </c>
      <c r="AS227" s="8">
        <v>2070</v>
      </c>
      <c r="AT227">
        <v>4765989</v>
      </c>
      <c r="AU227" s="8" t="s">
        <v>66</v>
      </c>
      <c r="AW227" s="8">
        <v>0</v>
      </c>
    </row>
    <row r="228" spans="1:49" x14ac:dyDescent="0.25">
      <c r="A228" t="s">
        <v>928</v>
      </c>
      <c r="B228">
        <v>4765991</v>
      </c>
      <c r="C228" t="s">
        <v>873</v>
      </c>
      <c r="D228">
        <v>19</v>
      </c>
      <c r="E228">
        <v>1</v>
      </c>
      <c r="F228">
        <v>27.75</v>
      </c>
      <c r="G228">
        <v>750</v>
      </c>
      <c r="J228" t="s">
        <v>929</v>
      </c>
      <c r="K228" s="8">
        <v>1</v>
      </c>
      <c r="L228" s="8">
        <v>1</v>
      </c>
      <c r="M228" t="str">
        <f t="shared" si="3"/>
        <v>Melamine-H1227-Frene Abano marron-TM12 19 mm</v>
      </c>
      <c r="N228" s="8">
        <v>1</v>
      </c>
      <c r="O228" s="8">
        <v>1</v>
      </c>
      <c r="P228" s="8">
        <v>0</v>
      </c>
      <c r="Q228" s="8" t="s">
        <v>61</v>
      </c>
      <c r="R228" s="8" t="s">
        <v>62</v>
      </c>
      <c r="AB228" t="s">
        <v>930</v>
      </c>
      <c r="AD228" t="s">
        <v>931</v>
      </c>
      <c r="AE228" s="8">
        <v>1</v>
      </c>
      <c r="AF228" s="8">
        <v>0</v>
      </c>
      <c r="AG228" s="8" t="s">
        <v>65</v>
      </c>
      <c r="AH228" s="8">
        <v>1</v>
      </c>
      <c r="AI228" s="8">
        <v>1</v>
      </c>
      <c r="AJ228" s="8">
        <v>1</v>
      </c>
      <c r="AK228" s="8">
        <v>1</v>
      </c>
      <c r="AR228" s="8">
        <v>2790</v>
      </c>
      <c r="AS228" s="8">
        <v>2070</v>
      </c>
      <c r="AT228">
        <v>4765991</v>
      </c>
      <c r="AU228" s="8" t="s">
        <v>66</v>
      </c>
      <c r="AW228" s="8">
        <v>0</v>
      </c>
    </row>
    <row r="229" spans="1:49" x14ac:dyDescent="0.25">
      <c r="A229" t="s">
        <v>932</v>
      </c>
      <c r="B229">
        <v>4765993</v>
      </c>
      <c r="C229" t="s">
        <v>873</v>
      </c>
      <c r="D229">
        <v>19</v>
      </c>
      <c r="E229">
        <v>1</v>
      </c>
      <c r="F229">
        <v>27.75</v>
      </c>
      <c r="G229">
        <v>750</v>
      </c>
      <c r="J229" t="s">
        <v>933</v>
      </c>
      <c r="K229" s="8">
        <v>1</v>
      </c>
      <c r="L229" s="8">
        <v>1</v>
      </c>
      <c r="M229" t="str">
        <f t="shared" si="3"/>
        <v>Melamine-H1228-Frene Abano anthracite-TM12 19 mm</v>
      </c>
      <c r="N229" s="8">
        <v>1</v>
      </c>
      <c r="O229" s="8">
        <v>1</v>
      </c>
      <c r="P229" s="8">
        <v>0</v>
      </c>
      <c r="Q229" s="8" t="s">
        <v>61</v>
      </c>
      <c r="R229" s="8" t="s">
        <v>62</v>
      </c>
      <c r="AB229" t="s">
        <v>934</v>
      </c>
      <c r="AD229" t="s">
        <v>935</v>
      </c>
      <c r="AE229" s="8">
        <v>1</v>
      </c>
      <c r="AF229" s="8">
        <v>0</v>
      </c>
      <c r="AG229" s="8" t="s">
        <v>65</v>
      </c>
      <c r="AH229" s="8">
        <v>1</v>
      </c>
      <c r="AI229" s="8">
        <v>1</v>
      </c>
      <c r="AJ229" s="8">
        <v>1</v>
      </c>
      <c r="AK229" s="8">
        <v>1</v>
      </c>
      <c r="AR229" s="8">
        <v>2790</v>
      </c>
      <c r="AS229" s="8">
        <v>2070</v>
      </c>
      <c r="AT229">
        <v>4765993</v>
      </c>
      <c r="AU229" s="8" t="s">
        <v>66</v>
      </c>
      <c r="AW229" s="8">
        <v>0</v>
      </c>
    </row>
    <row r="230" spans="1:49" x14ac:dyDescent="0.25">
      <c r="A230" t="s">
        <v>936</v>
      </c>
      <c r="B230">
        <v>4765995</v>
      </c>
      <c r="C230" t="s">
        <v>873</v>
      </c>
      <c r="D230">
        <v>19</v>
      </c>
      <c r="E230">
        <v>1</v>
      </c>
      <c r="F230">
        <v>27.75</v>
      </c>
      <c r="G230">
        <v>750</v>
      </c>
      <c r="J230" t="s">
        <v>937</v>
      </c>
      <c r="K230" s="8">
        <v>1</v>
      </c>
      <c r="L230" s="8">
        <v>1</v>
      </c>
      <c r="M230" t="str">
        <f t="shared" si="3"/>
        <v>Melamine-H3041-Eucalyptus naturel-TM12 19 mm</v>
      </c>
      <c r="N230" s="8">
        <v>1</v>
      </c>
      <c r="O230" s="8">
        <v>1</v>
      </c>
      <c r="P230" s="8">
        <v>0</v>
      </c>
      <c r="Q230" s="8" t="s">
        <v>61</v>
      </c>
      <c r="R230" s="8" t="s">
        <v>62</v>
      </c>
      <c r="AB230" t="s">
        <v>938</v>
      </c>
      <c r="AD230" t="s">
        <v>939</v>
      </c>
      <c r="AE230" s="8">
        <v>1</v>
      </c>
      <c r="AF230" s="8">
        <v>0</v>
      </c>
      <c r="AG230" s="8" t="s">
        <v>65</v>
      </c>
      <c r="AH230" s="8">
        <v>1</v>
      </c>
      <c r="AI230" s="8">
        <v>1</v>
      </c>
      <c r="AJ230" s="8">
        <v>1</v>
      </c>
      <c r="AK230" s="8">
        <v>1</v>
      </c>
      <c r="AR230" s="8">
        <v>2790</v>
      </c>
      <c r="AS230" s="8">
        <v>2070</v>
      </c>
      <c r="AT230">
        <v>4765995</v>
      </c>
      <c r="AU230" s="8" t="s">
        <v>66</v>
      </c>
      <c r="AW230" s="8">
        <v>0</v>
      </c>
    </row>
    <row r="231" spans="1:49" x14ac:dyDescent="0.25">
      <c r="A231" t="s">
        <v>940</v>
      </c>
      <c r="B231">
        <v>4354764</v>
      </c>
      <c r="C231" t="s">
        <v>873</v>
      </c>
      <c r="D231">
        <v>19</v>
      </c>
      <c r="E231">
        <v>1</v>
      </c>
      <c r="F231">
        <v>30.78</v>
      </c>
      <c r="G231">
        <v>750</v>
      </c>
      <c r="J231" t="s">
        <v>941</v>
      </c>
      <c r="K231" s="8">
        <v>1</v>
      </c>
      <c r="L231" s="8">
        <v>1</v>
      </c>
      <c r="M231" t="str">
        <f t="shared" si="3"/>
        <v>Melamine-H3180-Chene Halifax brun-TM37 19 mm</v>
      </c>
      <c r="N231" s="8">
        <v>1</v>
      </c>
      <c r="O231" s="8">
        <v>1</v>
      </c>
      <c r="P231" s="8">
        <v>0</v>
      </c>
      <c r="Q231" s="8" t="s">
        <v>61</v>
      </c>
      <c r="R231" s="8" t="s">
        <v>62</v>
      </c>
      <c r="AB231" t="s">
        <v>942</v>
      </c>
      <c r="AD231" t="s">
        <v>943</v>
      </c>
      <c r="AE231" s="8">
        <v>1</v>
      </c>
      <c r="AF231" s="8">
        <v>0</v>
      </c>
      <c r="AG231" s="8" t="s">
        <v>65</v>
      </c>
      <c r="AH231" s="8">
        <v>1</v>
      </c>
      <c r="AI231" s="8">
        <v>1</v>
      </c>
      <c r="AJ231" s="8">
        <v>1</v>
      </c>
      <c r="AK231" s="8">
        <v>1</v>
      </c>
      <c r="AR231" s="8">
        <v>2790</v>
      </c>
      <c r="AS231" s="8">
        <v>2070</v>
      </c>
      <c r="AT231">
        <v>4337287</v>
      </c>
      <c r="AU231" s="8" t="s">
        <v>66</v>
      </c>
      <c r="AW231" s="8">
        <v>0</v>
      </c>
    </row>
    <row r="232" spans="1:49" x14ac:dyDescent="0.25">
      <c r="A232" t="s">
        <v>944</v>
      </c>
      <c r="B232">
        <v>4354765</v>
      </c>
      <c r="C232" t="s">
        <v>873</v>
      </c>
      <c r="D232">
        <v>19</v>
      </c>
      <c r="E232">
        <v>1</v>
      </c>
      <c r="F232" t="s">
        <v>945</v>
      </c>
      <c r="G232">
        <v>750</v>
      </c>
      <c r="J232" t="s">
        <v>420</v>
      </c>
      <c r="K232" s="8">
        <v>1</v>
      </c>
      <c r="L232" s="8">
        <v>1</v>
      </c>
      <c r="M232" t="str">
        <f t="shared" si="3"/>
        <v>Melamine-H3311-Chene Cuneo blanchi-TM28 19 mm</v>
      </c>
      <c r="N232" s="8">
        <v>1</v>
      </c>
      <c r="O232" s="8">
        <v>1</v>
      </c>
      <c r="P232" s="8">
        <v>0</v>
      </c>
      <c r="Q232" s="8" t="s">
        <v>61</v>
      </c>
      <c r="R232" s="8" t="s">
        <v>62</v>
      </c>
      <c r="AB232" t="s">
        <v>946</v>
      </c>
      <c r="AD232" t="s">
        <v>947</v>
      </c>
      <c r="AE232" s="8">
        <v>1</v>
      </c>
      <c r="AF232" s="8">
        <v>0</v>
      </c>
      <c r="AG232" s="8" t="s">
        <v>65</v>
      </c>
      <c r="AH232" s="8">
        <v>1</v>
      </c>
      <c r="AI232" s="8">
        <v>1</v>
      </c>
      <c r="AJ232" s="8">
        <v>1</v>
      </c>
      <c r="AK232" s="8">
        <v>1</v>
      </c>
      <c r="AR232" s="8">
        <v>2790</v>
      </c>
      <c r="AS232" s="8">
        <v>2070</v>
      </c>
      <c r="AT232">
        <v>4354765</v>
      </c>
      <c r="AU232" s="8" t="s">
        <v>66</v>
      </c>
      <c r="AW232" s="8">
        <v>0</v>
      </c>
    </row>
    <row r="233" spans="1:49" x14ac:dyDescent="0.25">
      <c r="A233" t="s">
        <v>948</v>
      </c>
      <c r="B233">
        <v>4765997</v>
      </c>
      <c r="C233" t="s">
        <v>873</v>
      </c>
      <c r="D233">
        <v>19</v>
      </c>
      <c r="E233">
        <v>1</v>
      </c>
      <c r="F233">
        <v>30.78</v>
      </c>
      <c r="G233">
        <v>750</v>
      </c>
      <c r="J233" t="s">
        <v>949</v>
      </c>
      <c r="K233" s="8">
        <v>1</v>
      </c>
      <c r="L233" s="8">
        <v>1</v>
      </c>
      <c r="M233" t="str">
        <f t="shared" si="3"/>
        <v>Melamine-H3342-Chene Gladstone lave-TM28 19 mm</v>
      </c>
      <c r="N233" s="8">
        <v>1</v>
      </c>
      <c r="O233" s="8">
        <v>1</v>
      </c>
      <c r="P233" s="8">
        <v>0</v>
      </c>
      <c r="Q233" s="8" t="s">
        <v>61</v>
      </c>
      <c r="R233" s="8" t="s">
        <v>62</v>
      </c>
      <c r="AB233" t="s">
        <v>950</v>
      </c>
      <c r="AD233" t="s">
        <v>951</v>
      </c>
      <c r="AE233" s="8">
        <v>1</v>
      </c>
      <c r="AF233" s="8">
        <v>0</v>
      </c>
      <c r="AG233" s="8" t="s">
        <v>65</v>
      </c>
      <c r="AH233" s="8">
        <v>1</v>
      </c>
      <c r="AI233" s="8">
        <v>1</v>
      </c>
      <c r="AJ233" s="8">
        <v>1</v>
      </c>
      <c r="AK233" s="8">
        <v>1</v>
      </c>
      <c r="AR233" s="8">
        <v>2790</v>
      </c>
      <c r="AS233" s="8">
        <v>2070</v>
      </c>
      <c r="AT233">
        <v>4765997</v>
      </c>
      <c r="AU233" s="8" t="s">
        <v>66</v>
      </c>
      <c r="AW233" s="8">
        <v>0</v>
      </c>
    </row>
    <row r="234" spans="1:49" x14ac:dyDescent="0.25">
      <c r="A234" t="s">
        <v>952</v>
      </c>
      <c r="B234">
        <v>4765999</v>
      </c>
      <c r="C234" t="s">
        <v>873</v>
      </c>
      <c r="D234">
        <v>19</v>
      </c>
      <c r="E234">
        <v>0</v>
      </c>
      <c r="F234" t="s">
        <v>953</v>
      </c>
      <c r="G234">
        <v>750</v>
      </c>
      <c r="J234" t="s">
        <v>548</v>
      </c>
      <c r="K234" s="8">
        <v>1</v>
      </c>
      <c r="L234" s="8">
        <v>1</v>
      </c>
      <c r="M234" t="str">
        <f t="shared" si="3"/>
        <v>Melamine-U201-Gris galet-TM9 19 mm</v>
      </c>
      <c r="N234" s="8">
        <v>0</v>
      </c>
      <c r="O234" s="8">
        <v>1</v>
      </c>
      <c r="P234" s="8">
        <v>0</v>
      </c>
      <c r="Q234" s="8" t="s">
        <v>61</v>
      </c>
      <c r="R234" s="8" t="s">
        <v>62</v>
      </c>
      <c r="AB234" t="s">
        <v>954</v>
      </c>
      <c r="AD234" t="s">
        <v>955</v>
      </c>
      <c r="AE234" s="8">
        <v>1</v>
      </c>
      <c r="AF234" s="8">
        <v>0</v>
      </c>
      <c r="AG234" s="8" t="s">
        <v>65</v>
      </c>
      <c r="AH234" s="8">
        <v>1</v>
      </c>
      <c r="AI234" s="8">
        <v>1</v>
      </c>
      <c r="AJ234" s="8">
        <v>1</v>
      </c>
      <c r="AK234" s="8">
        <v>1</v>
      </c>
      <c r="AR234" s="8">
        <v>2790</v>
      </c>
      <c r="AS234" s="8">
        <v>2070</v>
      </c>
      <c r="AT234">
        <v>4765999</v>
      </c>
      <c r="AU234" s="8" t="s">
        <v>66</v>
      </c>
      <c r="AW234" s="8">
        <v>0</v>
      </c>
    </row>
    <row r="235" spans="1:49" x14ac:dyDescent="0.25">
      <c r="A235" t="s">
        <v>956</v>
      </c>
      <c r="B235">
        <v>4766001</v>
      </c>
      <c r="C235" t="s">
        <v>873</v>
      </c>
      <c r="D235">
        <v>19</v>
      </c>
      <c r="E235">
        <v>0</v>
      </c>
      <c r="F235">
        <v>14.23</v>
      </c>
      <c r="G235">
        <v>750</v>
      </c>
      <c r="J235" t="s">
        <v>740</v>
      </c>
      <c r="K235" s="8">
        <v>1</v>
      </c>
      <c r="L235" s="8">
        <v>1</v>
      </c>
      <c r="M235" t="str">
        <f t="shared" si="3"/>
        <v>Melamine-U740-Gris argile fonce-TM9 19 mm</v>
      </c>
      <c r="N235" s="8">
        <v>0</v>
      </c>
      <c r="O235" s="8">
        <v>1</v>
      </c>
      <c r="P235" s="8">
        <v>0</v>
      </c>
      <c r="Q235" s="8" t="s">
        <v>61</v>
      </c>
      <c r="R235" s="8" t="s">
        <v>62</v>
      </c>
      <c r="AB235" t="s">
        <v>957</v>
      </c>
      <c r="AD235" t="s">
        <v>958</v>
      </c>
      <c r="AE235" s="8">
        <v>1</v>
      </c>
      <c r="AF235" s="8">
        <v>0</v>
      </c>
      <c r="AG235" s="8" t="s">
        <v>65</v>
      </c>
      <c r="AH235" s="8">
        <v>1</v>
      </c>
      <c r="AI235" s="8">
        <v>1</v>
      </c>
      <c r="AJ235" s="8">
        <v>1</v>
      </c>
      <c r="AK235" s="8">
        <v>1</v>
      </c>
      <c r="AR235" s="8">
        <v>2790</v>
      </c>
      <c r="AS235" s="8">
        <v>2070</v>
      </c>
      <c r="AT235">
        <v>4062358</v>
      </c>
      <c r="AU235" s="8" t="s">
        <v>66</v>
      </c>
      <c r="AW235" s="8">
        <v>0</v>
      </c>
    </row>
    <row r="236" spans="1:49" x14ac:dyDescent="0.25">
      <c r="A236" t="s">
        <v>959</v>
      </c>
      <c r="B236">
        <v>4766003</v>
      </c>
      <c r="C236" t="s">
        <v>873</v>
      </c>
      <c r="D236">
        <v>19</v>
      </c>
      <c r="E236">
        <v>0</v>
      </c>
      <c r="F236">
        <v>11.26</v>
      </c>
      <c r="G236">
        <v>750</v>
      </c>
      <c r="J236" t="s">
        <v>752</v>
      </c>
      <c r="K236" s="8">
        <v>1</v>
      </c>
      <c r="L236" s="8">
        <v>1</v>
      </c>
      <c r="M236" t="str">
        <f t="shared" si="3"/>
        <v>Melamine-U750-Gris souris-TM9 19 mm</v>
      </c>
      <c r="N236" s="8">
        <v>0</v>
      </c>
      <c r="O236" s="8">
        <v>1</v>
      </c>
      <c r="P236" s="8">
        <v>0</v>
      </c>
      <c r="Q236" s="8" t="s">
        <v>61</v>
      </c>
      <c r="R236" s="8" t="s">
        <v>62</v>
      </c>
      <c r="AB236" t="s">
        <v>960</v>
      </c>
      <c r="AD236" t="s">
        <v>961</v>
      </c>
      <c r="AE236" s="8">
        <v>1</v>
      </c>
      <c r="AF236" s="8">
        <v>0</v>
      </c>
      <c r="AG236" s="8" t="s">
        <v>65</v>
      </c>
      <c r="AH236" s="8">
        <v>1</v>
      </c>
      <c r="AI236" s="8">
        <v>1</v>
      </c>
      <c r="AJ236" s="8">
        <v>1</v>
      </c>
      <c r="AK236" s="8">
        <v>1</v>
      </c>
      <c r="AR236" s="8">
        <v>2790</v>
      </c>
      <c r="AS236" s="8">
        <v>2070</v>
      </c>
      <c r="AT236">
        <v>4062361</v>
      </c>
      <c r="AU236" s="8" t="s">
        <v>66</v>
      </c>
      <c r="AW236" s="8">
        <v>0</v>
      </c>
    </row>
    <row r="237" spans="1:49" x14ac:dyDescent="0.25">
      <c r="A237" t="s">
        <v>962</v>
      </c>
      <c r="B237">
        <v>4766005</v>
      </c>
      <c r="C237" t="s">
        <v>873</v>
      </c>
      <c r="D237">
        <v>19</v>
      </c>
      <c r="E237">
        <v>0</v>
      </c>
      <c r="F237">
        <v>14.23</v>
      </c>
      <c r="G237">
        <v>750</v>
      </c>
      <c r="J237" t="s">
        <v>788</v>
      </c>
      <c r="K237" s="8">
        <v>1</v>
      </c>
      <c r="L237" s="8">
        <v>1</v>
      </c>
      <c r="M237" t="str">
        <f t="shared" si="3"/>
        <v>Melamine-U960-Gris onyx-TM9 19 mm</v>
      </c>
      <c r="N237" s="8">
        <v>0</v>
      </c>
      <c r="O237" s="8">
        <v>1</v>
      </c>
      <c r="P237" s="8">
        <v>0</v>
      </c>
      <c r="Q237" s="8" t="s">
        <v>61</v>
      </c>
      <c r="R237" s="8" t="s">
        <v>62</v>
      </c>
      <c r="AB237" t="s">
        <v>963</v>
      </c>
      <c r="AD237" t="s">
        <v>964</v>
      </c>
      <c r="AE237" s="8">
        <v>1</v>
      </c>
      <c r="AF237" s="8">
        <v>0</v>
      </c>
      <c r="AG237" s="8" t="s">
        <v>65</v>
      </c>
      <c r="AH237" s="8">
        <v>1</v>
      </c>
      <c r="AI237" s="8">
        <v>1</v>
      </c>
      <c r="AJ237" s="8">
        <v>1</v>
      </c>
      <c r="AK237" s="8">
        <v>1</v>
      </c>
      <c r="AR237" s="8">
        <v>2790</v>
      </c>
      <c r="AS237" s="8">
        <v>2070</v>
      </c>
      <c r="AT237">
        <v>4062371</v>
      </c>
      <c r="AU237" s="8" t="s">
        <v>66</v>
      </c>
      <c r="AW237" s="8">
        <v>0</v>
      </c>
    </row>
    <row r="238" spans="1:49" x14ac:dyDescent="0.25">
      <c r="A238" t="s">
        <v>965</v>
      </c>
      <c r="B238">
        <v>4766007</v>
      </c>
      <c r="C238" t="s">
        <v>873</v>
      </c>
      <c r="D238">
        <v>19</v>
      </c>
      <c r="E238">
        <v>0</v>
      </c>
      <c r="F238">
        <v>14.23</v>
      </c>
      <c r="G238">
        <v>750</v>
      </c>
      <c r="J238" t="s">
        <v>800</v>
      </c>
      <c r="K238" s="8">
        <v>1</v>
      </c>
      <c r="L238" s="8">
        <v>1</v>
      </c>
      <c r="M238" t="str">
        <f t="shared" si="3"/>
        <v>Melamine-U968-Gris carbone-TM9 19 mm</v>
      </c>
      <c r="N238" s="8">
        <v>0</v>
      </c>
      <c r="O238" s="8">
        <v>1</v>
      </c>
      <c r="P238" s="8">
        <v>0</v>
      </c>
      <c r="Q238" s="8" t="s">
        <v>61</v>
      </c>
      <c r="R238" s="8" t="s">
        <v>62</v>
      </c>
      <c r="AB238" t="s">
        <v>966</v>
      </c>
      <c r="AD238" t="s">
        <v>967</v>
      </c>
      <c r="AE238" s="8">
        <v>1</v>
      </c>
      <c r="AF238" s="8">
        <v>0</v>
      </c>
      <c r="AG238" s="8" t="s">
        <v>65</v>
      </c>
      <c r="AH238" s="8">
        <v>1</v>
      </c>
      <c r="AI238" s="8">
        <v>1</v>
      </c>
      <c r="AJ238" s="8">
        <v>1</v>
      </c>
      <c r="AK238" s="8">
        <v>1</v>
      </c>
      <c r="AR238" s="8">
        <v>2790</v>
      </c>
      <c r="AS238" s="8">
        <v>2070</v>
      </c>
      <c r="AT238">
        <v>4062373</v>
      </c>
      <c r="AU238" s="8" t="s">
        <v>66</v>
      </c>
      <c r="AW238" s="8">
        <v>0</v>
      </c>
    </row>
    <row r="239" spans="1:49" x14ac:dyDescent="0.25">
      <c r="A239" t="s">
        <v>968</v>
      </c>
      <c r="B239">
        <v>4354760</v>
      </c>
      <c r="C239" t="s">
        <v>873</v>
      </c>
      <c r="D239">
        <v>19</v>
      </c>
      <c r="E239">
        <v>0</v>
      </c>
      <c r="F239">
        <v>24.2</v>
      </c>
      <c r="G239">
        <v>750</v>
      </c>
      <c r="J239" t="s">
        <v>812</v>
      </c>
      <c r="K239" s="8">
        <v>1</v>
      </c>
      <c r="L239" s="8">
        <v>1</v>
      </c>
      <c r="M239" t="str">
        <f t="shared" si="3"/>
        <v>Melamine-U999-Noir-TM28 19 mm</v>
      </c>
      <c r="N239" s="8">
        <v>0</v>
      </c>
      <c r="O239" s="8">
        <v>1</v>
      </c>
      <c r="P239" s="8">
        <v>0</v>
      </c>
      <c r="Q239" s="8" t="s">
        <v>61</v>
      </c>
      <c r="R239" s="8" t="s">
        <v>62</v>
      </c>
      <c r="AB239" t="s">
        <v>969</v>
      </c>
      <c r="AD239" t="s">
        <v>970</v>
      </c>
      <c r="AE239" s="8">
        <v>1</v>
      </c>
      <c r="AF239" s="8">
        <v>0</v>
      </c>
      <c r="AG239" s="8" t="s">
        <v>65</v>
      </c>
      <c r="AH239" s="8">
        <v>1</v>
      </c>
      <c r="AI239" s="8">
        <v>1</v>
      </c>
      <c r="AJ239" s="8">
        <v>1</v>
      </c>
      <c r="AK239" s="8">
        <v>1</v>
      </c>
      <c r="AR239" s="8">
        <v>2790</v>
      </c>
      <c r="AS239" s="8">
        <v>2070</v>
      </c>
      <c r="AT239">
        <v>4751163</v>
      </c>
      <c r="AU239" s="8" t="s">
        <v>66</v>
      </c>
      <c r="AW239" s="8">
        <v>0</v>
      </c>
    </row>
    <row r="240" spans="1:49" x14ac:dyDescent="0.25">
      <c r="A240" t="s">
        <v>971</v>
      </c>
      <c r="B240">
        <v>4766009</v>
      </c>
      <c r="C240" t="s">
        <v>873</v>
      </c>
      <c r="D240">
        <v>19</v>
      </c>
      <c r="E240">
        <v>0</v>
      </c>
      <c r="F240">
        <v>24.2</v>
      </c>
      <c r="G240">
        <v>750</v>
      </c>
      <c r="J240" t="s">
        <v>812</v>
      </c>
      <c r="K240" s="8">
        <v>1</v>
      </c>
      <c r="L240" s="8">
        <v>1</v>
      </c>
      <c r="M240" t="str">
        <f t="shared" si="3"/>
        <v>Melamine-U999-Noir-TM9 19 mm</v>
      </c>
      <c r="N240" s="8">
        <v>0</v>
      </c>
      <c r="O240" s="8">
        <v>1</v>
      </c>
      <c r="P240" s="8">
        <v>0</v>
      </c>
      <c r="Q240" s="8" t="s">
        <v>61</v>
      </c>
      <c r="R240" s="8" t="s">
        <v>62</v>
      </c>
      <c r="AB240" t="s">
        <v>972</v>
      </c>
      <c r="AD240" t="s">
        <v>973</v>
      </c>
      <c r="AE240" s="8">
        <v>1</v>
      </c>
      <c r="AF240" s="8">
        <v>0</v>
      </c>
      <c r="AG240" s="8" t="s">
        <v>65</v>
      </c>
      <c r="AH240" s="8">
        <v>1</v>
      </c>
      <c r="AI240" s="8">
        <v>1</v>
      </c>
      <c r="AJ240" s="8">
        <v>1</v>
      </c>
      <c r="AK240" s="8">
        <v>1</v>
      </c>
      <c r="AR240" s="8">
        <v>2790</v>
      </c>
      <c r="AS240" s="8">
        <v>2070</v>
      </c>
      <c r="AT240">
        <v>4751163</v>
      </c>
      <c r="AU240" s="8" t="s">
        <v>66</v>
      </c>
      <c r="AW240" s="8">
        <v>0</v>
      </c>
    </row>
    <row r="241" spans="1:49" x14ac:dyDescent="0.25">
      <c r="A241" t="s">
        <v>974</v>
      </c>
      <c r="B241">
        <v>4766011</v>
      </c>
      <c r="C241" t="s">
        <v>873</v>
      </c>
      <c r="D241">
        <v>19</v>
      </c>
      <c r="E241">
        <v>0</v>
      </c>
      <c r="F241">
        <v>15.79</v>
      </c>
      <c r="G241">
        <v>750</v>
      </c>
      <c r="J241" t="s">
        <v>825</v>
      </c>
      <c r="K241" s="8">
        <v>1</v>
      </c>
      <c r="L241" s="8">
        <v>1</v>
      </c>
      <c r="M241" t="str">
        <f t="shared" si="3"/>
        <v>Melamine-W1000-Blanc premium-TM9 19 mm</v>
      </c>
      <c r="N241" s="8">
        <v>0</v>
      </c>
      <c r="O241" s="8">
        <v>1</v>
      </c>
      <c r="P241" s="8">
        <v>0</v>
      </c>
      <c r="Q241" s="8" t="s">
        <v>61</v>
      </c>
      <c r="R241" s="8" t="s">
        <v>62</v>
      </c>
      <c r="AB241" t="s">
        <v>975</v>
      </c>
      <c r="AD241" t="s">
        <v>976</v>
      </c>
      <c r="AE241" s="8">
        <v>1</v>
      </c>
      <c r="AF241" s="8">
        <v>0</v>
      </c>
      <c r="AG241" s="8" t="s">
        <v>65</v>
      </c>
      <c r="AH241" s="8">
        <v>1</v>
      </c>
      <c r="AI241" s="8">
        <v>1</v>
      </c>
      <c r="AJ241" s="8">
        <v>1</v>
      </c>
      <c r="AK241" s="8">
        <v>1</v>
      </c>
      <c r="AR241" s="8">
        <v>2790</v>
      </c>
      <c r="AS241" s="8">
        <v>2070</v>
      </c>
      <c r="AT241">
        <v>7786531</v>
      </c>
      <c r="AU241" s="8" t="s">
        <v>66</v>
      </c>
      <c r="AW241" s="8">
        <v>0</v>
      </c>
    </row>
    <row r="242" spans="1:49" x14ac:dyDescent="0.25">
      <c r="A242" t="s">
        <v>977</v>
      </c>
      <c r="C242" t="s">
        <v>978</v>
      </c>
      <c r="D242">
        <v>38</v>
      </c>
      <c r="E242">
        <v>1</v>
      </c>
      <c r="F242">
        <v>148.58000000000001</v>
      </c>
      <c r="G242">
        <v>750</v>
      </c>
      <c r="J242" t="s">
        <v>979</v>
      </c>
      <c r="K242" s="8">
        <v>1</v>
      </c>
      <c r="L242" s="8">
        <v>1</v>
      </c>
      <c r="M242" t="str">
        <f t="shared" si="3"/>
        <v>Plan de travail-F1861-Beton Chicago gris clair integral-ST9</v>
      </c>
      <c r="N242" s="8">
        <v>0</v>
      </c>
      <c r="O242" s="8">
        <v>1</v>
      </c>
      <c r="P242" s="8">
        <v>0</v>
      </c>
      <c r="Q242" s="8" t="s">
        <v>61</v>
      </c>
      <c r="R242" s="8" t="s">
        <v>62</v>
      </c>
      <c r="AB242" t="s">
        <v>980</v>
      </c>
      <c r="AE242" s="8">
        <v>1</v>
      </c>
      <c r="AF242" s="8">
        <v>0</v>
      </c>
      <c r="AG242" s="8" t="s">
        <v>65</v>
      </c>
      <c r="AH242" s="8">
        <v>1</v>
      </c>
      <c r="AI242" s="8">
        <v>1</v>
      </c>
      <c r="AJ242" s="8">
        <v>1</v>
      </c>
      <c r="AK242" s="8">
        <v>1</v>
      </c>
      <c r="AR242" s="8">
        <v>2790</v>
      </c>
      <c r="AS242" s="8">
        <v>2070</v>
      </c>
      <c r="AT242">
        <v>4780203</v>
      </c>
      <c r="AU242" s="8" t="s">
        <v>66</v>
      </c>
      <c r="AW242" s="8">
        <v>0</v>
      </c>
    </row>
    <row r="243" spans="1:49" x14ac:dyDescent="0.25">
      <c r="A243" t="s">
        <v>981</v>
      </c>
      <c r="C243" t="s">
        <v>978</v>
      </c>
      <c r="D243">
        <v>38</v>
      </c>
      <c r="E243">
        <v>0</v>
      </c>
      <c r="F243">
        <v>44.68</v>
      </c>
      <c r="G243">
        <v>750</v>
      </c>
      <c r="J243" t="s">
        <v>982</v>
      </c>
      <c r="K243" s="8">
        <v>1</v>
      </c>
      <c r="L243" s="8">
        <v>1</v>
      </c>
      <c r="M243" t="str">
        <f t="shared" si="3"/>
        <v>Plan de travail-F004-Terrazzo Pelago-ST75</v>
      </c>
      <c r="N243" s="8">
        <v>0</v>
      </c>
      <c r="O243" s="8">
        <v>1</v>
      </c>
      <c r="P243" s="8">
        <v>0</v>
      </c>
      <c r="Q243" s="8" t="s">
        <v>61</v>
      </c>
      <c r="R243" s="8" t="s">
        <v>62</v>
      </c>
      <c r="AB243" t="s">
        <v>983</v>
      </c>
      <c r="AE243" s="8">
        <v>1</v>
      </c>
      <c r="AF243" s="8">
        <v>0</v>
      </c>
      <c r="AG243" s="8" t="s">
        <v>65</v>
      </c>
      <c r="AH243" s="8">
        <v>1</v>
      </c>
      <c r="AI243" s="8">
        <v>1</v>
      </c>
      <c r="AJ243" s="8">
        <v>1</v>
      </c>
      <c r="AK243" s="8">
        <v>1</v>
      </c>
      <c r="AR243" s="8">
        <v>2790</v>
      </c>
      <c r="AS243" s="8">
        <v>2070</v>
      </c>
      <c r="AT243">
        <v>4766435</v>
      </c>
      <c r="AU243" s="8" t="s">
        <v>66</v>
      </c>
      <c r="AW243" s="8">
        <v>0</v>
      </c>
    </row>
    <row r="244" spans="1:49" x14ac:dyDescent="0.25">
      <c r="A244" t="s">
        <v>984</v>
      </c>
      <c r="B244">
        <v>4766507</v>
      </c>
      <c r="C244" t="s">
        <v>978</v>
      </c>
      <c r="D244">
        <v>38</v>
      </c>
      <c r="E244">
        <v>1</v>
      </c>
      <c r="F244">
        <v>44.68</v>
      </c>
      <c r="G244">
        <v>750</v>
      </c>
      <c r="J244" t="s">
        <v>985</v>
      </c>
      <c r="K244" s="8">
        <v>1</v>
      </c>
      <c r="L244" s="8">
        <v>1</v>
      </c>
      <c r="M244" t="str">
        <f t="shared" si="3"/>
        <v>Plan de travail-F032-Granit Cascia gris-ST78</v>
      </c>
      <c r="N244" s="8">
        <v>0</v>
      </c>
      <c r="O244" s="8">
        <v>1</v>
      </c>
      <c r="P244" s="8">
        <v>0</v>
      </c>
      <c r="Q244" s="8" t="s">
        <v>61</v>
      </c>
      <c r="R244" s="8" t="s">
        <v>62</v>
      </c>
      <c r="AB244" t="s">
        <v>986</v>
      </c>
      <c r="AE244" s="8">
        <v>1</v>
      </c>
      <c r="AF244" s="8">
        <v>0</v>
      </c>
      <c r="AG244" s="8" t="s">
        <v>65</v>
      </c>
      <c r="AH244" s="8">
        <v>1</v>
      </c>
      <c r="AI244" s="8">
        <v>1</v>
      </c>
      <c r="AJ244" s="8">
        <v>1</v>
      </c>
      <c r="AK244" s="8">
        <v>1</v>
      </c>
      <c r="AR244" s="8">
        <v>2790</v>
      </c>
      <c r="AS244" s="8">
        <v>2070</v>
      </c>
      <c r="AT244">
        <v>4766436</v>
      </c>
      <c r="AU244" s="8" t="s">
        <v>66</v>
      </c>
      <c r="AW244" s="8">
        <v>0</v>
      </c>
    </row>
    <row r="245" spans="1:49" x14ac:dyDescent="0.25">
      <c r="A245" t="s">
        <v>987</v>
      </c>
      <c r="B245">
        <v>4766508</v>
      </c>
      <c r="C245" t="s">
        <v>978</v>
      </c>
      <c r="D245">
        <v>38</v>
      </c>
      <c r="E245">
        <v>1</v>
      </c>
      <c r="F245">
        <v>44.68</v>
      </c>
      <c r="G245">
        <v>750</v>
      </c>
      <c r="J245" t="s">
        <v>988</v>
      </c>
      <c r="K245" s="8">
        <v>1</v>
      </c>
      <c r="L245" s="8">
        <v>1</v>
      </c>
      <c r="M245" t="str">
        <f t="shared" si="3"/>
        <v>Plan de travail-F052-Travertin Calais-ST75</v>
      </c>
      <c r="N245" s="8">
        <v>0</v>
      </c>
      <c r="O245" s="8">
        <v>1</v>
      </c>
      <c r="P245" s="8">
        <v>0</v>
      </c>
      <c r="Q245" s="8" t="s">
        <v>61</v>
      </c>
      <c r="R245" s="8" t="s">
        <v>62</v>
      </c>
      <c r="AB245" t="s">
        <v>989</v>
      </c>
      <c r="AE245" s="8">
        <v>1</v>
      </c>
      <c r="AF245" s="8">
        <v>0</v>
      </c>
      <c r="AG245" s="8" t="s">
        <v>65</v>
      </c>
      <c r="AH245" s="8">
        <v>1</v>
      </c>
      <c r="AI245" s="8">
        <v>1</v>
      </c>
      <c r="AJ245" s="8">
        <v>1</v>
      </c>
      <c r="AK245" s="8">
        <v>1</v>
      </c>
      <c r="AR245" s="8">
        <v>2790</v>
      </c>
      <c r="AS245" s="8">
        <v>2070</v>
      </c>
      <c r="AT245">
        <v>4766437</v>
      </c>
      <c r="AU245" s="8" t="s">
        <v>66</v>
      </c>
      <c r="AW245" s="8">
        <v>0</v>
      </c>
    </row>
    <row r="246" spans="1:49" x14ac:dyDescent="0.25">
      <c r="A246" t="s">
        <v>990</v>
      </c>
      <c r="B246">
        <v>7795181</v>
      </c>
      <c r="C246" t="s">
        <v>978</v>
      </c>
      <c r="D246">
        <v>38</v>
      </c>
      <c r="E246">
        <v>1</v>
      </c>
      <c r="F246">
        <v>44.68</v>
      </c>
      <c r="G246">
        <v>750</v>
      </c>
      <c r="J246" t="s">
        <v>991</v>
      </c>
      <c r="K246" s="8">
        <v>1</v>
      </c>
      <c r="L246" s="8">
        <v>1</v>
      </c>
      <c r="M246" t="str">
        <f t="shared" si="3"/>
        <v>Plan de travail-F121-Pierre metallisee anthracite-ST87</v>
      </c>
      <c r="N246" s="8">
        <v>0</v>
      </c>
      <c r="O246" s="8">
        <v>1</v>
      </c>
      <c r="P246" s="8">
        <v>0</v>
      </c>
      <c r="Q246" s="8" t="s">
        <v>61</v>
      </c>
      <c r="R246" s="8" t="s">
        <v>62</v>
      </c>
      <c r="AB246" t="s">
        <v>992</v>
      </c>
      <c r="AE246" s="8">
        <v>1</v>
      </c>
      <c r="AF246" s="8">
        <v>0</v>
      </c>
      <c r="AG246" s="8" t="s">
        <v>65</v>
      </c>
      <c r="AH246" s="8">
        <v>1</v>
      </c>
      <c r="AI246" s="8">
        <v>1</v>
      </c>
      <c r="AJ246" s="8">
        <v>1</v>
      </c>
      <c r="AK246" s="8">
        <v>1</v>
      </c>
      <c r="AR246" s="8">
        <v>2790</v>
      </c>
      <c r="AS246" s="8">
        <v>2070</v>
      </c>
      <c r="AT246">
        <v>7792230</v>
      </c>
      <c r="AU246" s="8" t="s">
        <v>66</v>
      </c>
      <c r="AW246" s="8">
        <v>0</v>
      </c>
    </row>
    <row r="247" spans="1:49" x14ac:dyDescent="0.25">
      <c r="A247" t="s">
        <v>993</v>
      </c>
      <c r="B247">
        <v>7795183</v>
      </c>
      <c r="C247" t="s">
        <v>978</v>
      </c>
      <c r="D247">
        <v>38</v>
      </c>
      <c r="E247">
        <v>1</v>
      </c>
      <c r="F247">
        <v>44.68</v>
      </c>
      <c r="G247">
        <v>750</v>
      </c>
      <c r="J247" t="s">
        <v>994</v>
      </c>
      <c r="K247" s="8">
        <v>1</v>
      </c>
      <c r="L247" s="8">
        <v>1</v>
      </c>
      <c r="M247" t="str">
        <f t="shared" si="3"/>
        <v>Plan de travail-F205-Pietra Grigia anthracite-ST9</v>
      </c>
      <c r="N247" s="8">
        <v>0</v>
      </c>
      <c r="O247" s="8">
        <v>1</v>
      </c>
      <c r="P247" s="8">
        <v>0</v>
      </c>
      <c r="Q247" s="8" t="s">
        <v>61</v>
      </c>
      <c r="R247" s="8" t="s">
        <v>62</v>
      </c>
      <c r="AB247" t="s">
        <v>995</v>
      </c>
      <c r="AE247" s="8">
        <v>1</v>
      </c>
      <c r="AF247" s="8">
        <v>0</v>
      </c>
      <c r="AG247" s="8" t="s">
        <v>65</v>
      </c>
      <c r="AH247" s="8">
        <v>1</v>
      </c>
      <c r="AI247" s="8">
        <v>1</v>
      </c>
      <c r="AJ247" s="8">
        <v>1</v>
      </c>
      <c r="AK247" s="8">
        <v>1</v>
      </c>
      <c r="AR247" s="8">
        <v>2790</v>
      </c>
      <c r="AS247" s="8">
        <v>2070</v>
      </c>
      <c r="AT247">
        <v>7792232</v>
      </c>
      <c r="AU247" s="8" t="s">
        <v>66</v>
      </c>
      <c r="AW247" s="8">
        <v>0</v>
      </c>
    </row>
    <row r="248" spans="1:49" x14ac:dyDescent="0.25">
      <c r="A248" t="s">
        <v>996</v>
      </c>
      <c r="C248" t="s">
        <v>978</v>
      </c>
      <c r="D248">
        <v>38</v>
      </c>
      <c r="E248">
        <v>1</v>
      </c>
      <c r="F248">
        <v>79.34</v>
      </c>
      <c r="G248">
        <v>750</v>
      </c>
      <c r="J248" t="s">
        <v>72</v>
      </c>
      <c r="K248" s="8">
        <v>1</v>
      </c>
      <c r="L248" s="8">
        <v>1</v>
      </c>
      <c r="M248" t="str">
        <f t="shared" si="3"/>
        <v>Plan de travail-F206-Pietra Grigia noir-PM</v>
      </c>
      <c r="N248" s="8">
        <v>0</v>
      </c>
      <c r="O248" s="8">
        <v>1</v>
      </c>
      <c r="P248" s="8">
        <v>0</v>
      </c>
      <c r="Q248" s="8" t="s">
        <v>61</v>
      </c>
      <c r="R248" s="8" t="s">
        <v>62</v>
      </c>
      <c r="AB248" t="s">
        <v>997</v>
      </c>
      <c r="AE248" s="8">
        <v>1</v>
      </c>
      <c r="AF248" s="8">
        <v>0</v>
      </c>
      <c r="AG248" s="8" t="s">
        <v>65</v>
      </c>
      <c r="AH248" s="8">
        <v>1</v>
      </c>
      <c r="AI248" s="8">
        <v>1</v>
      </c>
      <c r="AJ248" s="8">
        <v>1</v>
      </c>
      <c r="AK248" s="8">
        <v>1</v>
      </c>
      <c r="AR248" s="8">
        <v>2790</v>
      </c>
      <c r="AS248" s="8">
        <v>2070</v>
      </c>
      <c r="AT248">
        <v>4751169</v>
      </c>
      <c r="AU248" s="8" t="s">
        <v>66</v>
      </c>
      <c r="AW248" s="8">
        <v>0</v>
      </c>
    </row>
    <row r="249" spans="1:49" x14ac:dyDescent="0.25">
      <c r="A249" t="s">
        <v>998</v>
      </c>
      <c r="B249">
        <v>4766509</v>
      </c>
      <c r="C249" t="s">
        <v>978</v>
      </c>
      <c r="D249">
        <v>38</v>
      </c>
      <c r="E249">
        <v>1</v>
      </c>
      <c r="F249">
        <v>44.68</v>
      </c>
      <c r="G249">
        <v>750</v>
      </c>
      <c r="J249" t="s">
        <v>999</v>
      </c>
      <c r="K249" s="8">
        <v>1</v>
      </c>
      <c r="L249" s="8">
        <v>1</v>
      </c>
      <c r="M249" t="str">
        <f t="shared" si="3"/>
        <v>Plan de travail-F229-Marbre Cremona-ST75</v>
      </c>
      <c r="N249" s="8">
        <v>0</v>
      </c>
      <c r="O249" s="8">
        <v>1</v>
      </c>
      <c r="P249" s="8">
        <v>0</v>
      </c>
      <c r="Q249" s="8" t="s">
        <v>61</v>
      </c>
      <c r="R249" s="8" t="s">
        <v>62</v>
      </c>
      <c r="AB249" t="s">
        <v>1000</v>
      </c>
      <c r="AE249" s="8">
        <v>1</v>
      </c>
      <c r="AF249" s="8">
        <v>0</v>
      </c>
      <c r="AG249" s="8" t="s">
        <v>65</v>
      </c>
      <c r="AH249" s="8">
        <v>1</v>
      </c>
      <c r="AI249" s="8">
        <v>1</v>
      </c>
      <c r="AJ249" s="8">
        <v>1</v>
      </c>
      <c r="AK249" s="8">
        <v>1</v>
      </c>
      <c r="AR249" s="8">
        <v>2790</v>
      </c>
      <c r="AS249" s="8">
        <v>2070</v>
      </c>
      <c r="AT249">
        <v>4766438</v>
      </c>
      <c r="AU249" s="8" t="s">
        <v>66</v>
      </c>
      <c r="AW249" s="8">
        <v>0</v>
      </c>
    </row>
    <row r="250" spans="1:49" x14ac:dyDescent="0.25">
      <c r="A250" t="s">
        <v>1001</v>
      </c>
      <c r="B250">
        <v>7730643</v>
      </c>
      <c r="C250" t="s">
        <v>978</v>
      </c>
      <c r="D250">
        <v>38</v>
      </c>
      <c r="E250">
        <v>1</v>
      </c>
      <c r="F250">
        <v>44.68</v>
      </c>
      <c r="G250">
        <v>750</v>
      </c>
      <c r="J250" t="s">
        <v>1002</v>
      </c>
      <c r="K250" s="8">
        <v>1</v>
      </c>
      <c r="L250" s="8">
        <v>1</v>
      </c>
      <c r="M250" t="str">
        <f t="shared" si="3"/>
        <v>Plan de travail-F275-Beton fonce-ST9</v>
      </c>
      <c r="N250" s="8">
        <v>0</v>
      </c>
      <c r="O250" s="8">
        <v>1</v>
      </c>
      <c r="P250" s="8">
        <v>0</v>
      </c>
      <c r="Q250" s="8" t="s">
        <v>61</v>
      </c>
      <c r="R250" s="8" t="s">
        <v>62</v>
      </c>
      <c r="AB250" t="s">
        <v>1003</v>
      </c>
      <c r="AE250" s="8">
        <v>1</v>
      </c>
      <c r="AF250" s="8">
        <v>0</v>
      </c>
      <c r="AG250" s="8" t="s">
        <v>65</v>
      </c>
      <c r="AH250" s="8">
        <v>1</v>
      </c>
      <c r="AI250" s="8">
        <v>1</v>
      </c>
      <c r="AJ250" s="8">
        <v>1</v>
      </c>
      <c r="AK250" s="8">
        <v>1</v>
      </c>
      <c r="AR250" s="8">
        <v>2790</v>
      </c>
      <c r="AS250" s="8">
        <v>2070</v>
      </c>
      <c r="AT250">
        <v>7792235</v>
      </c>
      <c r="AU250" s="8" t="s">
        <v>66</v>
      </c>
      <c r="AW250" s="8">
        <v>0</v>
      </c>
    </row>
    <row r="251" spans="1:49" x14ac:dyDescent="0.25">
      <c r="A251" t="s">
        <v>1004</v>
      </c>
      <c r="B251">
        <v>7730645</v>
      </c>
      <c r="C251" t="s">
        <v>978</v>
      </c>
      <c r="D251">
        <v>38</v>
      </c>
      <c r="E251">
        <v>0</v>
      </c>
      <c r="F251">
        <v>140.85</v>
      </c>
      <c r="G251">
        <v>750</v>
      </c>
      <c r="J251" t="s">
        <v>1005</v>
      </c>
      <c r="K251" s="8">
        <v>1</v>
      </c>
      <c r="L251" s="8">
        <v>1</v>
      </c>
      <c r="M251" t="str">
        <f t="shared" si="3"/>
        <v>Plan de travail-F311-Ceramic anthracite-ST87</v>
      </c>
      <c r="N251" s="8">
        <v>0</v>
      </c>
      <c r="O251" s="8">
        <v>1</v>
      </c>
      <c r="P251" s="8">
        <v>0</v>
      </c>
      <c r="Q251" s="8" t="s">
        <v>61</v>
      </c>
      <c r="R251" s="8" t="s">
        <v>62</v>
      </c>
      <c r="AB251" t="s">
        <v>1006</v>
      </c>
      <c r="AE251" s="8">
        <v>1</v>
      </c>
      <c r="AF251" s="8">
        <v>0</v>
      </c>
      <c r="AG251" s="8" t="s">
        <v>65</v>
      </c>
      <c r="AH251" s="8">
        <v>1</v>
      </c>
      <c r="AI251" s="8">
        <v>1</v>
      </c>
      <c r="AJ251" s="8">
        <v>1</v>
      </c>
      <c r="AK251" s="8">
        <v>1</v>
      </c>
      <c r="AR251" s="8">
        <v>2790</v>
      </c>
      <c r="AS251" s="8">
        <v>2070</v>
      </c>
      <c r="AT251">
        <v>4780204</v>
      </c>
      <c r="AU251" s="8" t="s">
        <v>66</v>
      </c>
      <c r="AW251" s="8">
        <v>0</v>
      </c>
    </row>
    <row r="252" spans="1:49" x14ac:dyDescent="0.25">
      <c r="A252" t="s">
        <v>1007</v>
      </c>
      <c r="B252">
        <v>7795196</v>
      </c>
      <c r="C252" t="s">
        <v>978</v>
      </c>
      <c r="D252">
        <v>38</v>
      </c>
      <c r="E252">
        <v>0</v>
      </c>
      <c r="F252">
        <v>44.68</v>
      </c>
      <c r="G252">
        <v>750</v>
      </c>
      <c r="J252" t="s">
        <v>1008</v>
      </c>
      <c r="K252" s="8">
        <v>1</v>
      </c>
      <c r="L252" s="8">
        <v>1</v>
      </c>
      <c r="M252" t="str">
        <f t="shared" si="3"/>
        <v>Plan de travail-F486-Beton sable blanc-ST76</v>
      </c>
      <c r="N252" s="8">
        <v>0</v>
      </c>
      <c r="O252" s="8">
        <v>1</v>
      </c>
      <c r="P252" s="8">
        <v>0</v>
      </c>
      <c r="Q252" s="8" t="s">
        <v>61</v>
      </c>
      <c r="R252" s="8" t="s">
        <v>62</v>
      </c>
      <c r="AB252" t="s">
        <v>1009</v>
      </c>
      <c r="AE252" s="8">
        <v>1</v>
      </c>
      <c r="AF252" s="8">
        <v>0</v>
      </c>
      <c r="AG252" s="8" t="s">
        <v>65</v>
      </c>
      <c r="AH252" s="8">
        <v>1</v>
      </c>
      <c r="AI252" s="8">
        <v>1</v>
      </c>
      <c r="AJ252" s="8">
        <v>1</v>
      </c>
      <c r="AK252" s="8">
        <v>1</v>
      </c>
      <c r="AR252" s="8">
        <v>2790</v>
      </c>
      <c r="AS252" s="8">
        <v>2070</v>
      </c>
      <c r="AT252">
        <v>7792238</v>
      </c>
      <c r="AU252" s="8" t="s">
        <v>66</v>
      </c>
      <c r="AW252" s="8">
        <v>0</v>
      </c>
    </row>
    <row r="253" spans="1:49" x14ac:dyDescent="0.25">
      <c r="A253" t="s">
        <v>1010</v>
      </c>
      <c r="B253">
        <v>4766516</v>
      </c>
      <c r="C253" t="s">
        <v>978</v>
      </c>
      <c r="D253">
        <v>38</v>
      </c>
      <c r="E253">
        <v>1</v>
      </c>
      <c r="F253">
        <v>44.68</v>
      </c>
      <c r="G253">
        <v>750</v>
      </c>
      <c r="J253" t="s">
        <v>1011</v>
      </c>
      <c r="K253" s="8">
        <v>1</v>
      </c>
      <c r="L253" s="8">
        <v>1</v>
      </c>
      <c r="M253" t="str">
        <f t="shared" si="3"/>
        <v>Plan de travail-F502-Aluminium brosse fin-ST7</v>
      </c>
      <c r="N253" s="8">
        <v>0</v>
      </c>
      <c r="O253" s="8">
        <v>1</v>
      </c>
      <c r="P253" s="8">
        <v>0</v>
      </c>
      <c r="Q253" s="8" t="s">
        <v>61</v>
      </c>
      <c r="R253" s="8" t="s">
        <v>62</v>
      </c>
      <c r="AB253" t="s">
        <v>1012</v>
      </c>
      <c r="AE253" s="8">
        <v>1</v>
      </c>
      <c r="AF253" s="8">
        <v>0</v>
      </c>
      <c r="AG253" s="8" t="s">
        <v>65</v>
      </c>
      <c r="AH253" s="8">
        <v>1</v>
      </c>
      <c r="AI253" s="8">
        <v>1</v>
      </c>
      <c r="AJ253" s="8">
        <v>1</v>
      </c>
      <c r="AK253" s="8">
        <v>1</v>
      </c>
      <c r="AR253" s="8">
        <v>2790</v>
      </c>
      <c r="AS253" s="8">
        <v>2070</v>
      </c>
      <c r="AT253">
        <v>4766441</v>
      </c>
      <c r="AU253" s="8" t="s">
        <v>66</v>
      </c>
      <c r="AW253" s="8">
        <v>0</v>
      </c>
    </row>
    <row r="254" spans="1:49" x14ac:dyDescent="0.25">
      <c r="A254" t="s">
        <v>1013</v>
      </c>
      <c r="B254">
        <v>4766521</v>
      </c>
      <c r="C254" t="s">
        <v>978</v>
      </c>
      <c r="D254">
        <v>38</v>
      </c>
      <c r="E254">
        <v>1</v>
      </c>
      <c r="F254">
        <v>44.68</v>
      </c>
      <c r="G254">
        <v>750</v>
      </c>
      <c r="J254" t="s">
        <v>1014</v>
      </c>
      <c r="K254" s="8">
        <v>1</v>
      </c>
      <c r="L254" s="8">
        <v>1</v>
      </c>
      <c r="M254" t="str">
        <f t="shared" si="3"/>
        <v>Plan de travail-F675-Pierre Calvia gris clair-ST75</v>
      </c>
      <c r="N254" s="8">
        <v>0</v>
      </c>
      <c r="O254" s="8">
        <v>1</v>
      </c>
      <c r="P254" s="8">
        <v>0</v>
      </c>
      <c r="Q254" s="8" t="s">
        <v>61</v>
      </c>
      <c r="R254" s="8" t="s">
        <v>62</v>
      </c>
      <c r="AB254" t="s">
        <v>1015</v>
      </c>
      <c r="AE254" s="8">
        <v>1</v>
      </c>
      <c r="AF254" s="8">
        <v>0</v>
      </c>
      <c r="AG254" s="8" t="s">
        <v>65</v>
      </c>
      <c r="AH254" s="8">
        <v>1</v>
      </c>
      <c r="AI254" s="8">
        <v>1</v>
      </c>
      <c r="AJ254" s="8">
        <v>1</v>
      </c>
      <c r="AK254" s="8">
        <v>1</v>
      </c>
      <c r="AR254" s="8">
        <v>2790</v>
      </c>
      <c r="AS254" s="8">
        <v>2070</v>
      </c>
      <c r="AT254">
        <v>4766442</v>
      </c>
      <c r="AU254" s="8" t="s">
        <v>66</v>
      </c>
      <c r="AW254" s="8">
        <v>0</v>
      </c>
    </row>
    <row r="255" spans="1:49" x14ac:dyDescent="0.25">
      <c r="A255" t="s">
        <v>1016</v>
      </c>
      <c r="B255">
        <v>7795205</v>
      </c>
      <c r="C255" t="s">
        <v>978</v>
      </c>
      <c r="D255">
        <v>38</v>
      </c>
      <c r="E255">
        <v>1</v>
      </c>
      <c r="F255">
        <v>44.68</v>
      </c>
      <c r="G255">
        <v>750</v>
      </c>
      <c r="J255" t="s">
        <v>1017</v>
      </c>
      <c r="K255" s="8">
        <v>1</v>
      </c>
      <c r="L255" s="8">
        <v>1</v>
      </c>
      <c r="M255" t="str">
        <f t="shared" si="3"/>
        <v>Plan de travail-H193-Chene lamelle-ST12</v>
      </c>
      <c r="N255" s="8">
        <v>0</v>
      </c>
      <c r="O255" s="8">
        <v>1</v>
      </c>
      <c r="P255" s="8">
        <v>0</v>
      </c>
      <c r="Q255" s="8" t="s">
        <v>61</v>
      </c>
      <c r="R255" s="8" t="s">
        <v>62</v>
      </c>
      <c r="AB255" t="s">
        <v>1018</v>
      </c>
      <c r="AE255" s="8">
        <v>1</v>
      </c>
      <c r="AF255" s="8">
        <v>0</v>
      </c>
      <c r="AG255" s="8" t="s">
        <v>65</v>
      </c>
      <c r="AH255" s="8">
        <v>1</v>
      </c>
      <c r="AI255" s="8">
        <v>1</v>
      </c>
      <c r="AJ255" s="8">
        <v>1</v>
      </c>
      <c r="AK255" s="8">
        <v>1</v>
      </c>
      <c r="AR255" s="8">
        <v>2790</v>
      </c>
      <c r="AS255" s="8">
        <v>2070</v>
      </c>
      <c r="AT255">
        <v>7792241</v>
      </c>
      <c r="AU255" s="8" t="s">
        <v>66</v>
      </c>
      <c r="AW255" s="8">
        <v>0</v>
      </c>
    </row>
    <row r="256" spans="1:49" x14ac:dyDescent="0.25">
      <c r="A256" t="s">
        <v>1019</v>
      </c>
      <c r="C256" t="s">
        <v>978</v>
      </c>
      <c r="D256">
        <v>38</v>
      </c>
      <c r="E256">
        <v>1</v>
      </c>
      <c r="F256">
        <v>44.68</v>
      </c>
      <c r="G256">
        <v>750</v>
      </c>
      <c r="J256" t="s">
        <v>360</v>
      </c>
      <c r="K256" s="8">
        <v>1</v>
      </c>
      <c r="L256" s="8">
        <v>1</v>
      </c>
      <c r="M256" t="str">
        <f t="shared" si="3"/>
        <v>Plan de travail-H3152-Chene Vicenza blanchi-STG8</v>
      </c>
      <c r="N256" s="8">
        <v>0</v>
      </c>
      <c r="O256" s="8">
        <v>1</v>
      </c>
      <c r="P256" s="8">
        <v>0</v>
      </c>
      <c r="Q256" s="8" t="s">
        <v>61</v>
      </c>
      <c r="R256" s="8" t="s">
        <v>62</v>
      </c>
      <c r="AB256" t="s">
        <v>1020</v>
      </c>
      <c r="AE256" s="8">
        <v>1</v>
      </c>
      <c r="AF256" s="8">
        <v>0</v>
      </c>
      <c r="AG256" s="8" t="s">
        <v>65</v>
      </c>
      <c r="AH256" s="8">
        <v>1</v>
      </c>
      <c r="AI256" s="8">
        <v>1</v>
      </c>
      <c r="AJ256" s="8">
        <v>1</v>
      </c>
      <c r="AK256" s="8">
        <v>1</v>
      </c>
      <c r="AR256" s="8">
        <v>2790</v>
      </c>
      <c r="AS256" s="8">
        <v>2070</v>
      </c>
      <c r="AT256">
        <v>4766444</v>
      </c>
      <c r="AU256" s="8" t="s">
        <v>66</v>
      </c>
      <c r="AW256" s="8">
        <v>0</v>
      </c>
    </row>
    <row r="257" spans="1:49" x14ac:dyDescent="0.25">
      <c r="A257" t="s">
        <v>1021</v>
      </c>
      <c r="B257">
        <v>7795315</v>
      </c>
      <c r="C257" t="s">
        <v>978</v>
      </c>
      <c r="D257">
        <v>38</v>
      </c>
      <c r="E257">
        <v>0</v>
      </c>
      <c r="F257">
        <v>150.86000000000001</v>
      </c>
      <c r="G257">
        <v>750</v>
      </c>
      <c r="J257" t="s">
        <v>1022</v>
      </c>
      <c r="K257" s="8">
        <v>1</v>
      </c>
      <c r="L257" s="8">
        <v>1</v>
      </c>
      <c r="M257" t="str">
        <f t="shared" si="3"/>
        <v>Plan de travail-U7081-Gris clair integral-ST76</v>
      </c>
      <c r="N257" s="8">
        <v>0</v>
      </c>
      <c r="O257" s="8">
        <v>1</v>
      </c>
      <c r="P257" s="8">
        <v>0</v>
      </c>
      <c r="Q257" s="8" t="s">
        <v>61</v>
      </c>
      <c r="R257" s="8" t="s">
        <v>62</v>
      </c>
      <c r="AB257" t="s">
        <v>1023</v>
      </c>
      <c r="AE257" s="8">
        <v>1</v>
      </c>
      <c r="AF257" s="8">
        <v>0</v>
      </c>
      <c r="AG257" s="8" t="s">
        <v>65</v>
      </c>
      <c r="AH257" s="8">
        <v>1</v>
      </c>
      <c r="AI257" s="8">
        <v>1</v>
      </c>
      <c r="AJ257" s="8">
        <v>1</v>
      </c>
      <c r="AK257" s="8">
        <v>1</v>
      </c>
      <c r="AR257" s="8">
        <v>2790</v>
      </c>
      <c r="AS257" s="8">
        <v>2070</v>
      </c>
      <c r="AT257">
        <v>7792259</v>
      </c>
      <c r="AU257" s="8" t="s">
        <v>66</v>
      </c>
      <c r="AW257" s="8">
        <v>0</v>
      </c>
    </row>
    <row r="258" spans="1:49" x14ac:dyDescent="0.25">
      <c r="A258" t="s">
        <v>1024</v>
      </c>
      <c r="B258">
        <v>7795240</v>
      </c>
      <c r="C258" t="s">
        <v>978</v>
      </c>
      <c r="D258">
        <v>38</v>
      </c>
      <c r="E258">
        <v>0</v>
      </c>
      <c r="F258">
        <v>44.68</v>
      </c>
      <c r="G258">
        <v>750</v>
      </c>
      <c r="J258" t="s">
        <v>812</v>
      </c>
      <c r="K258" s="8">
        <v>1</v>
      </c>
      <c r="L258" s="8">
        <v>1</v>
      </c>
      <c r="M258" t="str">
        <f t="shared" si="3"/>
        <v>Plan de travail-U999-Noir-ST76</v>
      </c>
      <c r="N258" s="8">
        <v>0</v>
      </c>
      <c r="O258" s="8">
        <v>1</v>
      </c>
      <c r="P258" s="8">
        <v>0</v>
      </c>
      <c r="Q258" s="8" t="s">
        <v>61</v>
      </c>
      <c r="R258" s="8" t="s">
        <v>62</v>
      </c>
      <c r="AB258" t="s">
        <v>1025</v>
      </c>
      <c r="AE258" s="8">
        <v>1</v>
      </c>
      <c r="AF258" s="8">
        <v>0</v>
      </c>
      <c r="AG258" s="8" t="s">
        <v>65</v>
      </c>
      <c r="AH258" s="8">
        <v>1</v>
      </c>
      <c r="AI258" s="8">
        <v>1</v>
      </c>
      <c r="AJ258" s="8">
        <v>1</v>
      </c>
      <c r="AK258" s="8">
        <v>1</v>
      </c>
      <c r="AR258" s="8">
        <v>2790</v>
      </c>
      <c r="AS258" s="8">
        <v>2070</v>
      </c>
      <c r="AT258">
        <v>4766446</v>
      </c>
      <c r="AU258" s="8" t="s">
        <v>66</v>
      </c>
      <c r="AW258" s="8">
        <v>0</v>
      </c>
    </row>
    <row r="259" spans="1:49" x14ac:dyDescent="0.25">
      <c r="A259" t="s">
        <v>1026</v>
      </c>
      <c r="B259">
        <v>4766563</v>
      </c>
      <c r="C259" t="s">
        <v>978</v>
      </c>
      <c r="D259">
        <v>38</v>
      </c>
      <c r="E259">
        <v>0</v>
      </c>
      <c r="F259">
        <v>44.68</v>
      </c>
      <c r="G259">
        <v>750</v>
      </c>
      <c r="J259" t="s">
        <v>812</v>
      </c>
      <c r="K259" s="8">
        <v>1</v>
      </c>
      <c r="L259" s="8">
        <v>1</v>
      </c>
      <c r="M259" t="str">
        <f t="shared" si="3"/>
        <v>Plan de travail-U999-Noir-ST78</v>
      </c>
      <c r="N259" s="8">
        <v>0</v>
      </c>
      <c r="O259" s="8">
        <v>1</v>
      </c>
      <c r="P259" s="8">
        <v>0</v>
      </c>
      <c r="Q259" s="8" t="s">
        <v>61</v>
      </c>
      <c r="R259" s="8" t="s">
        <v>62</v>
      </c>
      <c r="AB259" t="s">
        <v>1027</v>
      </c>
      <c r="AE259" s="8">
        <v>1</v>
      </c>
      <c r="AF259" s="8">
        <v>0</v>
      </c>
      <c r="AG259" s="8" t="s">
        <v>65</v>
      </c>
      <c r="AH259" s="8">
        <v>1</v>
      </c>
      <c r="AI259" s="8">
        <v>1</v>
      </c>
      <c r="AJ259" s="8">
        <v>1</v>
      </c>
      <c r="AK259" s="8">
        <v>1</v>
      </c>
      <c r="AR259" s="8">
        <v>2790</v>
      </c>
      <c r="AS259" s="8">
        <v>2070</v>
      </c>
      <c r="AT259">
        <v>4766446</v>
      </c>
      <c r="AU259" s="8" t="s">
        <v>66</v>
      </c>
      <c r="AW259" s="8">
        <v>0</v>
      </c>
    </row>
    <row r="260" spans="1:49" x14ac:dyDescent="0.25">
      <c r="A260" t="s">
        <v>1028</v>
      </c>
      <c r="B260">
        <v>7795317</v>
      </c>
      <c r="C260" t="s">
        <v>978</v>
      </c>
      <c r="D260">
        <v>38</v>
      </c>
      <c r="E260">
        <v>0</v>
      </c>
      <c r="F260">
        <v>150.86000000000001</v>
      </c>
      <c r="G260">
        <v>750</v>
      </c>
      <c r="J260" t="s">
        <v>1029</v>
      </c>
      <c r="K260" s="8">
        <v>1</v>
      </c>
      <c r="L260" s="8">
        <v>1</v>
      </c>
      <c r="M260" t="str">
        <f t="shared" si="3"/>
        <v>Plan de travail-W1101-Blanc alpin integral-ST76</v>
      </c>
      <c r="N260" s="8">
        <v>0</v>
      </c>
      <c r="O260" s="8">
        <v>1</v>
      </c>
      <c r="P260" s="8">
        <v>0</v>
      </c>
      <c r="Q260" s="8" t="s">
        <v>61</v>
      </c>
      <c r="R260" s="8" t="s">
        <v>62</v>
      </c>
      <c r="AB260" t="s">
        <v>1030</v>
      </c>
      <c r="AE260" s="8">
        <v>1</v>
      </c>
      <c r="AF260" s="8">
        <v>0</v>
      </c>
      <c r="AG260" s="8" t="s">
        <v>65</v>
      </c>
      <c r="AH260" s="8">
        <v>1</v>
      </c>
      <c r="AI260" s="8">
        <v>1</v>
      </c>
      <c r="AJ260" s="8">
        <v>1</v>
      </c>
      <c r="AK260" s="8">
        <v>1</v>
      </c>
      <c r="AR260" s="8">
        <v>2790</v>
      </c>
      <c r="AS260" s="8">
        <v>2070</v>
      </c>
      <c r="AT260">
        <v>7792261</v>
      </c>
      <c r="AU260" s="8" t="s">
        <v>66</v>
      </c>
      <c r="AW260" s="8">
        <v>0</v>
      </c>
    </row>
    <row r="261" spans="1:49" x14ac:dyDescent="0.25">
      <c r="A261" t="s">
        <v>1031</v>
      </c>
      <c r="B261">
        <v>7730799</v>
      </c>
      <c r="C261" t="s">
        <v>1032</v>
      </c>
      <c r="D261" t="s">
        <v>1033</v>
      </c>
      <c r="E261">
        <v>0</v>
      </c>
      <c r="F261">
        <v>24.4</v>
      </c>
      <c r="G261">
        <v>750</v>
      </c>
      <c r="J261" t="s">
        <v>1034</v>
      </c>
      <c r="K261" s="8">
        <v>1</v>
      </c>
      <c r="L261" s="8">
        <v>1</v>
      </c>
      <c r="M261" t="str">
        <f t="shared" ref="M261:M324" si="4">IF(ISNUMBER(SEARCH("Melamine",A261)),_xlfn.CONCAT(A261," ",D261," mm"),A261)</f>
        <v>Sratifie-U7021-Gris cachemire integral-ST9</v>
      </c>
      <c r="N261" s="8">
        <v>0</v>
      </c>
      <c r="O261" s="8">
        <v>1</v>
      </c>
      <c r="P261" s="8">
        <v>0</v>
      </c>
      <c r="Q261" s="8" t="s">
        <v>1035</v>
      </c>
      <c r="R261" s="8" t="s">
        <v>62</v>
      </c>
      <c r="AB261" t="s">
        <v>1036</v>
      </c>
      <c r="AE261" s="8">
        <v>1</v>
      </c>
      <c r="AF261" s="8">
        <v>0</v>
      </c>
      <c r="AG261" s="8" t="s">
        <v>65</v>
      </c>
      <c r="AH261" s="8">
        <v>1</v>
      </c>
      <c r="AI261" s="8">
        <v>1</v>
      </c>
      <c r="AJ261" s="8">
        <v>1</v>
      </c>
      <c r="AK261" s="8">
        <v>1</v>
      </c>
      <c r="AR261" s="8">
        <v>3050</v>
      </c>
      <c r="AS261" s="8">
        <v>1310</v>
      </c>
      <c r="AT261">
        <v>7730799</v>
      </c>
      <c r="AU261" s="8" t="s">
        <v>66</v>
      </c>
      <c r="AW261" s="8">
        <v>0</v>
      </c>
    </row>
    <row r="262" spans="1:49" x14ac:dyDescent="0.25">
      <c r="A262" t="s">
        <v>1037</v>
      </c>
      <c r="B262">
        <v>7730800</v>
      </c>
      <c r="C262" t="s">
        <v>1032</v>
      </c>
      <c r="D262" t="s">
        <v>1033</v>
      </c>
      <c r="E262">
        <v>0</v>
      </c>
      <c r="F262">
        <v>24.4</v>
      </c>
      <c r="G262">
        <v>750</v>
      </c>
      <c r="J262" t="s">
        <v>1022</v>
      </c>
      <c r="K262" s="8">
        <v>1</v>
      </c>
      <c r="L262" s="8">
        <v>1</v>
      </c>
      <c r="M262" t="str">
        <f t="shared" si="4"/>
        <v>Sratifie-U7081-Gris clair integral-ST9</v>
      </c>
      <c r="N262" s="8">
        <v>0</v>
      </c>
      <c r="O262" s="8">
        <v>1</v>
      </c>
      <c r="P262" s="8">
        <v>0</v>
      </c>
      <c r="Q262" s="8" t="s">
        <v>1035</v>
      </c>
      <c r="R262" s="8" t="s">
        <v>62</v>
      </c>
      <c r="AB262" t="s">
        <v>1038</v>
      </c>
      <c r="AE262" s="8">
        <v>1</v>
      </c>
      <c r="AF262" s="8">
        <v>0</v>
      </c>
      <c r="AG262" s="8" t="s">
        <v>65</v>
      </c>
      <c r="AH262" s="8">
        <v>1</v>
      </c>
      <c r="AI262" s="8">
        <v>1</v>
      </c>
      <c r="AJ262" s="8">
        <v>1</v>
      </c>
      <c r="AK262" s="8">
        <v>1</v>
      </c>
      <c r="AR262" s="8">
        <v>3050</v>
      </c>
      <c r="AS262" s="8">
        <v>1310</v>
      </c>
      <c r="AT262">
        <v>7795315</v>
      </c>
      <c r="AU262" s="8" t="s">
        <v>66</v>
      </c>
      <c r="AW262" s="8">
        <v>0</v>
      </c>
    </row>
    <row r="263" spans="1:49" x14ac:dyDescent="0.25">
      <c r="A263" t="s">
        <v>1039</v>
      </c>
      <c r="B263">
        <v>7795316</v>
      </c>
      <c r="C263" t="s">
        <v>1032</v>
      </c>
      <c r="D263" t="s">
        <v>1033</v>
      </c>
      <c r="E263">
        <v>0</v>
      </c>
      <c r="F263">
        <v>24.4</v>
      </c>
      <c r="G263">
        <v>750</v>
      </c>
      <c r="J263" t="s">
        <v>1040</v>
      </c>
      <c r="K263" s="8">
        <v>1</v>
      </c>
      <c r="L263" s="8">
        <v>1</v>
      </c>
      <c r="M263" t="str">
        <f t="shared" si="4"/>
        <v>Sratifie-U8991-Soft Black integral-ST9</v>
      </c>
      <c r="N263" s="8">
        <v>0</v>
      </c>
      <c r="O263" s="8">
        <v>1</v>
      </c>
      <c r="P263" s="8">
        <v>0</v>
      </c>
      <c r="Q263" s="8" t="s">
        <v>1035</v>
      </c>
      <c r="R263" s="8" t="s">
        <v>62</v>
      </c>
      <c r="AB263" t="s">
        <v>1041</v>
      </c>
      <c r="AE263" s="8">
        <v>1</v>
      </c>
      <c r="AF263" s="8">
        <v>0</v>
      </c>
      <c r="AG263" s="8" t="s">
        <v>65</v>
      </c>
      <c r="AH263" s="8">
        <v>1</v>
      </c>
      <c r="AI263" s="8">
        <v>1</v>
      </c>
      <c r="AJ263" s="8">
        <v>1</v>
      </c>
      <c r="AK263" s="8">
        <v>1</v>
      </c>
      <c r="AR263" s="8">
        <v>3050</v>
      </c>
      <c r="AS263" s="8">
        <v>1310</v>
      </c>
      <c r="AT263">
        <v>7795316</v>
      </c>
      <c r="AU263" s="8" t="s">
        <v>66</v>
      </c>
      <c r="AW263" s="8">
        <v>0</v>
      </c>
    </row>
    <row r="264" spans="1:49" x14ac:dyDescent="0.25">
      <c r="A264" t="s">
        <v>1042</v>
      </c>
      <c r="B264">
        <v>7730801</v>
      </c>
      <c r="C264" t="s">
        <v>1032</v>
      </c>
      <c r="D264" t="s">
        <v>1033</v>
      </c>
      <c r="E264">
        <v>0</v>
      </c>
      <c r="F264">
        <v>24.4</v>
      </c>
      <c r="G264">
        <v>750</v>
      </c>
      <c r="J264" t="s">
        <v>1043</v>
      </c>
      <c r="K264" s="8">
        <v>1</v>
      </c>
      <c r="L264" s="8">
        <v>1</v>
      </c>
      <c r="M264" t="str">
        <f t="shared" si="4"/>
        <v>Sratifie-U9631-Gris ombre integral-ST9</v>
      </c>
      <c r="N264" s="8">
        <v>0</v>
      </c>
      <c r="O264" s="8">
        <v>1</v>
      </c>
      <c r="P264" s="8">
        <v>0</v>
      </c>
      <c r="Q264" s="8" t="s">
        <v>1035</v>
      </c>
      <c r="R264" s="8" t="s">
        <v>62</v>
      </c>
      <c r="AB264" t="s">
        <v>1044</v>
      </c>
      <c r="AE264" s="8">
        <v>1</v>
      </c>
      <c r="AF264" s="8">
        <v>0</v>
      </c>
      <c r="AG264" s="8" t="s">
        <v>65</v>
      </c>
      <c r="AH264" s="8">
        <v>1</v>
      </c>
      <c r="AI264" s="8">
        <v>1</v>
      </c>
      <c r="AJ264" s="8">
        <v>1</v>
      </c>
      <c r="AK264" s="8">
        <v>1</v>
      </c>
      <c r="AR264" s="8">
        <v>3050</v>
      </c>
      <c r="AS264" s="8">
        <v>1310</v>
      </c>
      <c r="AT264">
        <v>7730801</v>
      </c>
      <c r="AU264" s="8" t="s">
        <v>66</v>
      </c>
      <c r="AW264" s="8">
        <v>0</v>
      </c>
    </row>
    <row r="265" spans="1:49" x14ac:dyDescent="0.25">
      <c r="A265" t="s">
        <v>1045</v>
      </c>
      <c r="B265">
        <v>7730802</v>
      </c>
      <c r="C265" t="s">
        <v>1032</v>
      </c>
      <c r="D265" t="s">
        <v>1033</v>
      </c>
      <c r="E265">
        <v>0</v>
      </c>
      <c r="F265">
        <v>24.4</v>
      </c>
      <c r="G265">
        <v>750</v>
      </c>
      <c r="J265" t="s">
        <v>1046</v>
      </c>
      <c r="K265" s="8">
        <v>1</v>
      </c>
      <c r="L265" s="8">
        <v>1</v>
      </c>
      <c r="M265" t="str">
        <f t="shared" si="4"/>
        <v>Sratifie-W1001-Blanc premium integral-ST9</v>
      </c>
      <c r="N265" s="8">
        <v>0</v>
      </c>
      <c r="O265" s="8">
        <v>1</v>
      </c>
      <c r="P265" s="8">
        <v>0</v>
      </c>
      <c r="Q265" s="8" t="s">
        <v>1035</v>
      </c>
      <c r="R265" s="8" t="s">
        <v>62</v>
      </c>
      <c r="AB265" t="s">
        <v>1047</v>
      </c>
      <c r="AE265" s="8">
        <v>1</v>
      </c>
      <c r="AF265" s="8">
        <v>0</v>
      </c>
      <c r="AG265" s="8" t="s">
        <v>65</v>
      </c>
      <c r="AH265" s="8">
        <v>1</v>
      </c>
      <c r="AI265" s="8">
        <v>1</v>
      </c>
      <c r="AJ265" s="8">
        <v>1</v>
      </c>
      <c r="AK265" s="8">
        <v>1</v>
      </c>
      <c r="AR265" s="8">
        <v>3050</v>
      </c>
      <c r="AS265" s="8">
        <v>1310</v>
      </c>
      <c r="AT265">
        <v>7795319</v>
      </c>
      <c r="AU265" s="8" t="s">
        <v>66</v>
      </c>
      <c r="AW265" s="8">
        <v>0</v>
      </c>
    </row>
    <row r="266" spans="1:49" x14ac:dyDescent="0.25">
      <c r="A266" t="s">
        <v>1048</v>
      </c>
      <c r="B266">
        <v>7730803</v>
      </c>
      <c r="C266" t="s">
        <v>1032</v>
      </c>
      <c r="D266" t="s">
        <v>1033</v>
      </c>
      <c r="E266">
        <v>0</v>
      </c>
      <c r="F266">
        <v>24.4</v>
      </c>
      <c r="G266">
        <v>750</v>
      </c>
      <c r="J266" t="s">
        <v>1029</v>
      </c>
      <c r="K266" s="8">
        <v>1</v>
      </c>
      <c r="L266" s="8">
        <v>1</v>
      </c>
      <c r="M266" t="str">
        <f t="shared" si="4"/>
        <v>Sratifie-W1101-Blanc alpin integral-ST9</v>
      </c>
      <c r="N266" s="8">
        <v>0</v>
      </c>
      <c r="O266" s="8">
        <v>1</v>
      </c>
      <c r="P266" s="8">
        <v>0</v>
      </c>
      <c r="Q266" s="8" t="s">
        <v>1035</v>
      </c>
      <c r="R266" s="8" t="s">
        <v>62</v>
      </c>
      <c r="AB266" t="s">
        <v>1049</v>
      </c>
      <c r="AE266" s="8">
        <v>1</v>
      </c>
      <c r="AF266" s="8">
        <v>0</v>
      </c>
      <c r="AG266" s="8" t="s">
        <v>65</v>
      </c>
      <c r="AH266" s="8">
        <v>1</v>
      </c>
      <c r="AI266" s="8">
        <v>1</v>
      </c>
      <c r="AJ266" s="8">
        <v>1</v>
      </c>
      <c r="AK266" s="8">
        <v>1</v>
      </c>
      <c r="AR266" s="8">
        <v>3050</v>
      </c>
      <c r="AS266" s="8">
        <v>1310</v>
      </c>
      <c r="AT266">
        <v>7730803</v>
      </c>
      <c r="AU266" s="8" t="s">
        <v>66</v>
      </c>
      <c r="AW266" s="8">
        <v>0</v>
      </c>
    </row>
    <row r="267" spans="1:49" x14ac:dyDescent="0.25">
      <c r="A267" t="s">
        <v>1050</v>
      </c>
      <c r="C267" t="s">
        <v>1051</v>
      </c>
      <c r="D267" t="s">
        <v>1033</v>
      </c>
      <c r="E267">
        <v>1</v>
      </c>
      <c r="G267">
        <v>750</v>
      </c>
      <c r="J267" t="s">
        <v>1052</v>
      </c>
      <c r="K267" s="8">
        <v>1</v>
      </c>
      <c r="L267" s="8">
        <v>1</v>
      </c>
      <c r="M267" t="str">
        <f t="shared" si="4"/>
        <v>Sratifie-H1133-Chene Hamilton naturel transversal-ST10</v>
      </c>
      <c r="N267" s="8">
        <v>1</v>
      </c>
      <c r="O267" s="8">
        <v>1</v>
      </c>
      <c r="P267" s="8">
        <v>0</v>
      </c>
      <c r="Q267" s="8" t="s">
        <v>1035</v>
      </c>
      <c r="R267" s="8" t="s">
        <v>62</v>
      </c>
      <c r="AB267" t="s">
        <v>1053</v>
      </c>
      <c r="AE267" s="8">
        <v>1</v>
      </c>
      <c r="AF267" s="8">
        <v>0</v>
      </c>
      <c r="AG267" s="8" t="s">
        <v>65</v>
      </c>
      <c r="AH267" s="8">
        <v>1</v>
      </c>
      <c r="AI267" s="8">
        <v>1</v>
      </c>
      <c r="AJ267" s="8">
        <v>1</v>
      </c>
      <c r="AK267" s="8">
        <v>1</v>
      </c>
      <c r="AR267" s="8">
        <v>3050</v>
      </c>
      <c r="AS267" s="8">
        <v>1310</v>
      </c>
      <c r="AU267" s="8" t="s">
        <v>66</v>
      </c>
      <c r="AW267" s="8">
        <v>0</v>
      </c>
    </row>
    <row r="268" spans="1:49" x14ac:dyDescent="0.25">
      <c r="A268" t="s">
        <v>1054</v>
      </c>
      <c r="C268" t="s">
        <v>1051</v>
      </c>
      <c r="D268" t="s">
        <v>1033</v>
      </c>
      <c r="E268">
        <v>1</v>
      </c>
      <c r="F268">
        <v>15.69</v>
      </c>
      <c r="G268">
        <v>750</v>
      </c>
      <c r="J268" t="s">
        <v>184</v>
      </c>
      <c r="K268" s="8">
        <v>1</v>
      </c>
      <c r="L268" s="8">
        <v>1</v>
      </c>
      <c r="M268" t="str">
        <f t="shared" si="4"/>
        <v>Sratifie-H1180-Chene Halifax naturel-ST22</v>
      </c>
      <c r="N268" s="8">
        <v>1</v>
      </c>
      <c r="O268" s="8">
        <v>1</v>
      </c>
      <c r="P268" s="8">
        <v>0</v>
      </c>
      <c r="Q268" s="8" t="s">
        <v>1035</v>
      </c>
      <c r="R268" s="8" t="s">
        <v>62</v>
      </c>
      <c r="AB268" t="s">
        <v>1055</v>
      </c>
      <c r="AE268" s="8">
        <v>1</v>
      </c>
      <c r="AF268" s="8">
        <v>0</v>
      </c>
      <c r="AG268" s="8" t="s">
        <v>65</v>
      </c>
      <c r="AH268" s="8">
        <v>1</v>
      </c>
      <c r="AI268" s="8">
        <v>1</v>
      </c>
      <c r="AJ268" s="8">
        <v>1</v>
      </c>
      <c r="AK268" s="8">
        <v>1</v>
      </c>
      <c r="AR268" s="8">
        <v>3050</v>
      </c>
      <c r="AS268" s="8">
        <v>1310</v>
      </c>
      <c r="AT268">
        <v>6427871</v>
      </c>
      <c r="AU268" s="8" t="s">
        <v>66</v>
      </c>
      <c r="AW268" s="8">
        <v>0</v>
      </c>
    </row>
    <row r="269" spans="1:49" x14ac:dyDescent="0.25">
      <c r="A269" t="s">
        <v>1056</v>
      </c>
      <c r="C269" t="s">
        <v>1051</v>
      </c>
      <c r="D269" t="s">
        <v>1033</v>
      </c>
      <c r="E269">
        <v>1</v>
      </c>
      <c r="G269">
        <v>750</v>
      </c>
      <c r="J269" t="s">
        <v>1057</v>
      </c>
      <c r="K269" s="8">
        <v>1</v>
      </c>
      <c r="L269" s="8">
        <v>1</v>
      </c>
      <c r="M269" t="str">
        <f t="shared" si="4"/>
        <v>Sratifie-H180-Chene Halifax naturel transversal-ST86</v>
      </c>
      <c r="N269" s="8">
        <v>1</v>
      </c>
      <c r="O269" s="8">
        <v>1</v>
      </c>
      <c r="P269" s="8">
        <v>0</v>
      </c>
      <c r="Q269" s="8" t="s">
        <v>1035</v>
      </c>
      <c r="R269" s="8" t="s">
        <v>62</v>
      </c>
      <c r="AB269" t="s">
        <v>1058</v>
      </c>
      <c r="AE269" s="8">
        <v>1</v>
      </c>
      <c r="AF269" s="8">
        <v>0</v>
      </c>
      <c r="AG269" s="8" t="s">
        <v>65</v>
      </c>
      <c r="AH269" s="8">
        <v>1</v>
      </c>
      <c r="AI269" s="8">
        <v>1</v>
      </c>
      <c r="AJ269" s="8">
        <v>1</v>
      </c>
      <c r="AK269" s="8">
        <v>1</v>
      </c>
      <c r="AR269" s="8">
        <v>3050</v>
      </c>
      <c r="AS269" s="8">
        <v>1310</v>
      </c>
      <c r="AU269" s="8" t="s">
        <v>66</v>
      </c>
      <c r="AW269" s="8">
        <v>0</v>
      </c>
    </row>
    <row r="270" spans="1:49" x14ac:dyDescent="0.25">
      <c r="A270" t="s">
        <v>1059</v>
      </c>
      <c r="C270" t="s">
        <v>1051</v>
      </c>
      <c r="D270" t="s">
        <v>1033</v>
      </c>
      <c r="E270">
        <v>1</v>
      </c>
      <c r="G270">
        <v>750</v>
      </c>
      <c r="J270" t="s">
        <v>1060</v>
      </c>
      <c r="K270" s="8">
        <v>1</v>
      </c>
      <c r="L270" s="8">
        <v>1</v>
      </c>
      <c r="M270" t="str">
        <f t="shared" si="4"/>
        <v>Sratifie-H307-Noyer Warmia brun transversal-STG4</v>
      </c>
      <c r="N270" s="8">
        <v>1</v>
      </c>
      <c r="O270" s="8">
        <v>1</v>
      </c>
      <c r="P270" s="8">
        <v>0</v>
      </c>
      <c r="Q270" s="8" t="s">
        <v>1035</v>
      </c>
      <c r="R270" s="8" t="s">
        <v>62</v>
      </c>
      <c r="AB270" t="s">
        <v>1061</v>
      </c>
      <c r="AE270" s="8">
        <v>1</v>
      </c>
      <c r="AF270" s="8">
        <v>0</v>
      </c>
      <c r="AG270" s="8" t="s">
        <v>65</v>
      </c>
      <c r="AH270" s="8">
        <v>1</v>
      </c>
      <c r="AI270" s="8">
        <v>1</v>
      </c>
      <c r="AJ270" s="8">
        <v>1</v>
      </c>
      <c r="AK270" s="8">
        <v>1</v>
      </c>
      <c r="AR270" s="8">
        <v>3050</v>
      </c>
      <c r="AS270" s="8">
        <v>1310</v>
      </c>
      <c r="AU270" s="8" t="s">
        <v>66</v>
      </c>
      <c r="AW270" s="8">
        <v>0</v>
      </c>
    </row>
    <row r="271" spans="1:49" x14ac:dyDescent="0.25">
      <c r="A271" t="s">
        <v>1062</v>
      </c>
      <c r="C271" t="s">
        <v>1051</v>
      </c>
      <c r="D271" t="s">
        <v>1033</v>
      </c>
      <c r="E271">
        <v>1</v>
      </c>
      <c r="G271">
        <v>750</v>
      </c>
      <c r="J271" t="s">
        <v>1063</v>
      </c>
      <c r="K271" s="8">
        <v>1</v>
      </c>
      <c r="L271" s="8">
        <v>1</v>
      </c>
      <c r="M271" t="str">
        <f t="shared" si="4"/>
        <v>Sratifie-H357-Chene Vicenza transversal-STG4</v>
      </c>
      <c r="N271" s="8">
        <v>1</v>
      </c>
      <c r="O271" s="8">
        <v>1</v>
      </c>
      <c r="P271" s="8">
        <v>0</v>
      </c>
      <c r="Q271" s="8" t="s">
        <v>1035</v>
      </c>
      <c r="R271" s="8" t="s">
        <v>62</v>
      </c>
      <c r="AB271" t="s">
        <v>1064</v>
      </c>
      <c r="AE271" s="8">
        <v>1</v>
      </c>
      <c r="AF271" s="8">
        <v>0</v>
      </c>
      <c r="AG271" s="8" t="s">
        <v>65</v>
      </c>
      <c r="AH271" s="8">
        <v>1</v>
      </c>
      <c r="AI271" s="8">
        <v>1</v>
      </c>
      <c r="AJ271" s="8">
        <v>1</v>
      </c>
      <c r="AK271" s="8">
        <v>1</v>
      </c>
      <c r="AR271" s="8">
        <v>3050</v>
      </c>
      <c r="AS271" s="8">
        <v>1310</v>
      </c>
      <c r="AU271" s="8" t="s">
        <v>66</v>
      </c>
      <c r="AW271" s="8">
        <v>0</v>
      </c>
    </row>
    <row r="272" spans="1:49" x14ac:dyDescent="0.25">
      <c r="A272" t="s">
        <v>1065</v>
      </c>
      <c r="C272" t="s">
        <v>1051</v>
      </c>
      <c r="D272" t="s">
        <v>1033</v>
      </c>
      <c r="E272">
        <v>1</v>
      </c>
      <c r="G272">
        <v>750</v>
      </c>
      <c r="J272" t="s">
        <v>1066</v>
      </c>
      <c r="K272" s="8">
        <v>1</v>
      </c>
      <c r="L272" s="8">
        <v>1</v>
      </c>
      <c r="M272" t="str">
        <f t="shared" si="4"/>
        <v>Sratifie-H358-Chene Vicenza gris transversal-STG4</v>
      </c>
      <c r="N272" s="8">
        <v>1</v>
      </c>
      <c r="O272" s="8">
        <v>1</v>
      </c>
      <c r="P272" s="8">
        <v>0</v>
      </c>
      <c r="Q272" s="8" t="s">
        <v>1035</v>
      </c>
      <c r="R272" s="8" t="s">
        <v>62</v>
      </c>
      <c r="AB272" t="s">
        <v>1067</v>
      </c>
      <c r="AE272" s="8">
        <v>1</v>
      </c>
      <c r="AF272" s="8">
        <v>0</v>
      </c>
      <c r="AG272" s="8" t="s">
        <v>65</v>
      </c>
      <c r="AH272" s="8">
        <v>1</v>
      </c>
      <c r="AI272" s="8">
        <v>1</v>
      </c>
      <c r="AJ272" s="8">
        <v>1</v>
      </c>
      <c r="AK272" s="8">
        <v>1</v>
      </c>
      <c r="AR272" s="8">
        <v>3050</v>
      </c>
      <c r="AS272" s="8">
        <v>1310</v>
      </c>
      <c r="AU272" s="8" t="s">
        <v>66</v>
      </c>
      <c r="AW272" s="8">
        <v>0</v>
      </c>
    </row>
    <row r="273" spans="1:49" x14ac:dyDescent="0.25">
      <c r="A273" t="s">
        <v>1068</v>
      </c>
      <c r="C273" t="s">
        <v>1051</v>
      </c>
      <c r="D273" t="s">
        <v>1033</v>
      </c>
      <c r="E273">
        <v>1</v>
      </c>
      <c r="G273">
        <v>750</v>
      </c>
      <c r="J273" t="s">
        <v>1069</v>
      </c>
      <c r="K273" s="8">
        <v>1</v>
      </c>
      <c r="L273" s="8">
        <v>1</v>
      </c>
      <c r="M273" t="str">
        <f t="shared" si="4"/>
        <v>Sratifie-H433-Pin Aland polaire transversal-ST86</v>
      </c>
      <c r="N273" s="8">
        <v>1</v>
      </c>
      <c r="O273" s="8">
        <v>1</v>
      </c>
      <c r="P273" s="8">
        <v>0</v>
      </c>
      <c r="Q273" s="8" t="s">
        <v>1035</v>
      </c>
      <c r="R273" s="8" t="s">
        <v>62</v>
      </c>
      <c r="AB273" t="s">
        <v>1070</v>
      </c>
      <c r="AE273" s="8">
        <v>1</v>
      </c>
      <c r="AF273" s="8">
        <v>0</v>
      </c>
      <c r="AG273" s="8" t="s">
        <v>65</v>
      </c>
      <c r="AH273" s="8">
        <v>1</v>
      </c>
      <c r="AI273" s="8">
        <v>1</v>
      </c>
      <c r="AJ273" s="8">
        <v>1</v>
      </c>
      <c r="AK273" s="8">
        <v>1</v>
      </c>
      <c r="AR273" s="8">
        <v>3050</v>
      </c>
      <c r="AS273" s="8">
        <v>1310</v>
      </c>
      <c r="AU273" s="8" t="s">
        <v>66</v>
      </c>
      <c r="AW273" s="8">
        <v>0</v>
      </c>
    </row>
    <row r="274" spans="1:49" x14ac:dyDescent="0.25">
      <c r="A274" t="s">
        <v>1071</v>
      </c>
      <c r="C274" t="s">
        <v>1051</v>
      </c>
      <c r="D274" t="s">
        <v>1033</v>
      </c>
      <c r="E274">
        <v>0</v>
      </c>
      <c r="F274">
        <v>12.27</v>
      </c>
      <c r="G274">
        <v>750</v>
      </c>
      <c r="J274" t="s">
        <v>1072</v>
      </c>
      <c r="K274" s="8">
        <v>1</v>
      </c>
      <c r="L274" s="8">
        <v>1</v>
      </c>
      <c r="M274" t="str">
        <f t="shared" si="4"/>
        <v>Sratifie-U9991-Noir integral-PM</v>
      </c>
      <c r="N274" s="8">
        <v>0</v>
      </c>
      <c r="O274" s="8">
        <v>1</v>
      </c>
      <c r="P274" s="8">
        <v>0</v>
      </c>
      <c r="Q274" s="8" t="s">
        <v>1035</v>
      </c>
      <c r="R274" s="8" t="s">
        <v>62</v>
      </c>
      <c r="AB274" t="s">
        <v>1073</v>
      </c>
      <c r="AE274" s="8">
        <v>1</v>
      </c>
      <c r="AF274" s="8">
        <v>0</v>
      </c>
      <c r="AG274" s="8" t="s">
        <v>65</v>
      </c>
      <c r="AH274" s="8">
        <v>1</v>
      </c>
      <c r="AI274" s="8">
        <v>1</v>
      </c>
      <c r="AJ274" s="8">
        <v>1</v>
      </c>
      <c r="AK274" s="8">
        <v>1</v>
      </c>
      <c r="AR274" s="8">
        <v>3050</v>
      </c>
      <c r="AS274" s="8">
        <v>1310</v>
      </c>
      <c r="AT274">
        <v>4751072</v>
      </c>
      <c r="AU274" s="8" t="s">
        <v>66</v>
      </c>
      <c r="AW274" s="8">
        <v>0</v>
      </c>
    </row>
    <row r="275" spans="1:49" x14ac:dyDescent="0.25">
      <c r="A275" t="s">
        <v>1074</v>
      </c>
      <c r="C275" t="s">
        <v>1051</v>
      </c>
      <c r="D275" t="s">
        <v>1033</v>
      </c>
      <c r="E275">
        <v>0</v>
      </c>
      <c r="F275">
        <v>12.27</v>
      </c>
      <c r="G275">
        <v>750</v>
      </c>
      <c r="J275" t="s">
        <v>812</v>
      </c>
      <c r="K275" s="8">
        <v>1</v>
      </c>
      <c r="L275" s="8">
        <v>1</v>
      </c>
      <c r="M275" t="str">
        <f t="shared" si="4"/>
        <v>Sratifie-U999-Noir-STG4</v>
      </c>
      <c r="N275" s="8">
        <v>0</v>
      </c>
      <c r="O275" s="8">
        <v>1</v>
      </c>
      <c r="P275" s="8">
        <v>0</v>
      </c>
      <c r="Q275" s="8" t="s">
        <v>1035</v>
      </c>
      <c r="R275" s="8" t="s">
        <v>62</v>
      </c>
      <c r="AB275" t="s">
        <v>1075</v>
      </c>
      <c r="AE275" s="8">
        <v>1</v>
      </c>
      <c r="AF275" s="8">
        <v>0</v>
      </c>
      <c r="AG275" s="8" t="s">
        <v>65</v>
      </c>
      <c r="AH275" s="8">
        <v>1</v>
      </c>
      <c r="AI275" s="8">
        <v>1</v>
      </c>
      <c r="AJ275" s="8">
        <v>1</v>
      </c>
      <c r="AK275" s="8">
        <v>1</v>
      </c>
      <c r="AR275" s="8">
        <v>3050</v>
      </c>
      <c r="AS275" s="8">
        <v>1310</v>
      </c>
      <c r="AT275">
        <v>4751072</v>
      </c>
      <c r="AU275" s="8" t="s">
        <v>66</v>
      </c>
      <c r="AW275" s="8">
        <v>0</v>
      </c>
    </row>
    <row r="276" spans="1:49" x14ac:dyDescent="0.25">
      <c r="A276" t="s">
        <v>1076</v>
      </c>
      <c r="C276" t="s">
        <v>1051</v>
      </c>
      <c r="D276" t="s">
        <v>1033</v>
      </c>
      <c r="E276">
        <v>0</v>
      </c>
      <c r="F276">
        <v>16.2</v>
      </c>
      <c r="G276">
        <v>750</v>
      </c>
      <c r="J276" t="s">
        <v>825</v>
      </c>
      <c r="K276" s="8">
        <v>1</v>
      </c>
      <c r="L276" s="8">
        <v>1</v>
      </c>
      <c r="M276" t="str">
        <f t="shared" si="4"/>
        <v>Sratifie-W1000-Blanc premium-STG4</v>
      </c>
      <c r="N276" s="8">
        <v>0</v>
      </c>
      <c r="O276" s="8">
        <v>1</v>
      </c>
      <c r="P276" s="8">
        <v>0</v>
      </c>
      <c r="Q276" s="8" t="s">
        <v>1035</v>
      </c>
      <c r="R276" s="8" t="s">
        <v>62</v>
      </c>
      <c r="AB276" t="s">
        <v>1077</v>
      </c>
      <c r="AE276" s="8">
        <v>1</v>
      </c>
      <c r="AF276" s="8">
        <v>0</v>
      </c>
      <c r="AG276" s="8" t="s">
        <v>65</v>
      </c>
      <c r="AH276" s="8">
        <v>1</v>
      </c>
      <c r="AI276" s="8">
        <v>1</v>
      </c>
      <c r="AJ276" s="8">
        <v>1</v>
      </c>
      <c r="AK276" s="8">
        <v>1</v>
      </c>
      <c r="AR276" s="8">
        <v>3050</v>
      </c>
      <c r="AS276" s="8">
        <v>1310</v>
      </c>
      <c r="AT276">
        <v>4850201</v>
      </c>
      <c r="AU276" s="8" t="s">
        <v>66</v>
      </c>
      <c r="AW276" s="8">
        <v>0</v>
      </c>
    </row>
    <row r="277" spans="1:49" x14ac:dyDescent="0.25">
      <c r="A277" t="s">
        <v>1078</v>
      </c>
      <c r="C277" t="s">
        <v>1051</v>
      </c>
      <c r="D277" t="s">
        <v>1033</v>
      </c>
      <c r="E277">
        <v>0</v>
      </c>
      <c r="F277">
        <v>24.4</v>
      </c>
      <c r="G277">
        <v>750</v>
      </c>
      <c r="J277" t="s">
        <v>1046</v>
      </c>
      <c r="K277" s="8">
        <v>1</v>
      </c>
      <c r="L277" s="8">
        <v>1</v>
      </c>
      <c r="M277" t="str">
        <f t="shared" si="4"/>
        <v>Sratifie-W1001-Blanc premium integral-PG</v>
      </c>
      <c r="N277" s="8">
        <v>0</v>
      </c>
      <c r="O277" s="8">
        <v>1</v>
      </c>
      <c r="P277" s="8">
        <v>0</v>
      </c>
      <c r="Q277" s="8" t="s">
        <v>1035</v>
      </c>
      <c r="R277" s="8" t="s">
        <v>62</v>
      </c>
      <c r="AB277" t="s">
        <v>1079</v>
      </c>
      <c r="AE277" s="8">
        <v>1</v>
      </c>
      <c r="AF277" s="8">
        <v>0</v>
      </c>
      <c r="AG277" s="8" t="s">
        <v>65</v>
      </c>
      <c r="AH277" s="8">
        <v>1</v>
      </c>
      <c r="AI277" s="8">
        <v>1</v>
      </c>
      <c r="AJ277" s="8">
        <v>1</v>
      </c>
      <c r="AK277" s="8">
        <v>1</v>
      </c>
      <c r="AR277" s="8">
        <v>3050</v>
      </c>
      <c r="AS277" s="8">
        <v>1310</v>
      </c>
      <c r="AT277">
        <v>7795319</v>
      </c>
      <c r="AU277" s="8" t="s">
        <v>66</v>
      </c>
      <c r="AW277" s="8">
        <v>0</v>
      </c>
    </row>
    <row r="278" spans="1:49" x14ac:dyDescent="0.25">
      <c r="A278" t="s">
        <v>1080</v>
      </c>
      <c r="C278" t="s">
        <v>1051</v>
      </c>
      <c r="D278" t="s">
        <v>1033</v>
      </c>
      <c r="E278">
        <v>1</v>
      </c>
      <c r="F278">
        <v>13.6</v>
      </c>
      <c r="G278">
        <v>750</v>
      </c>
      <c r="H278" s="8" t="s">
        <v>59</v>
      </c>
      <c r="J278" t="s">
        <v>60</v>
      </c>
      <c r="K278" s="8">
        <v>1</v>
      </c>
      <c r="L278" s="8">
        <v>1</v>
      </c>
      <c r="M278" t="str">
        <f t="shared" si="4"/>
        <v>Stratifie-F186-Beton Chicago gris clair-ST9</v>
      </c>
      <c r="N278" s="8">
        <v>0</v>
      </c>
      <c r="O278" s="8">
        <v>1</v>
      </c>
      <c r="P278" s="8">
        <v>0</v>
      </c>
      <c r="Q278" s="8" t="s">
        <v>1035</v>
      </c>
      <c r="R278" s="8" t="s">
        <v>62</v>
      </c>
      <c r="AB278" t="s">
        <v>63</v>
      </c>
      <c r="AD278" t="s">
        <v>64</v>
      </c>
      <c r="AE278" s="8">
        <v>1</v>
      </c>
      <c r="AF278" s="8">
        <v>0</v>
      </c>
      <c r="AG278" s="8" t="s">
        <v>65</v>
      </c>
      <c r="AH278" s="8">
        <v>1</v>
      </c>
      <c r="AI278" s="8">
        <v>1</v>
      </c>
      <c r="AJ278" s="8">
        <v>1</v>
      </c>
      <c r="AK278" s="8">
        <v>1</v>
      </c>
      <c r="AR278" s="8">
        <v>3050</v>
      </c>
      <c r="AS278" s="8">
        <v>1310</v>
      </c>
      <c r="AT278">
        <v>7730640</v>
      </c>
      <c r="AU278" s="8" t="s">
        <v>66</v>
      </c>
      <c r="AW278" s="8">
        <v>0</v>
      </c>
    </row>
    <row r="279" spans="1:49" x14ac:dyDescent="0.25">
      <c r="A279" t="s">
        <v>1081</v>
      </c>
      <c r="C279" t="s">
        <v>1051</v>
      </c>
      <c r="D279" t="s">
        <v>1033</v>
      </c>
      <c r="E279">
        <v>1</v>
      </c>
      <c r="F279">
        <v>13.6</v>
      </c>
      <c r="G279">
        <v>750</v>
      </c>
      <c r="J279" t="s">
        <v>68</v>
      </c>
      <c r="K279" s="8">
        <v>1</v>
      </c>
      <c r="L279" s="8">
        <v>1</v>
      </c>
      <c r="M279" t="str">
        <f t="shared" si="4"/>
        <v>Stratifie-F187-Beton Chicago gris fonce-ST9</v>
      </c>
      <c r="N279" s="8">
        <v>0</v>
      </c>
      <c r="O279" s="8">
        <v>1</v>
      </c>
      <c r="P279" s="8">
        <v>0</v>
      </c>
      <c r="Q279" s="8" t="s">
        <v>1035</v>
      </c>
      <c r="R279" s="8" t="s">
        <v>62</v>
      </c>
      <c r="AB279" t="s">
        <v>69</v>
      </c>
      <c r="AD279" t="s">
        <v>70</v>
      </c>
      <c r="AE279" s="8">
        <v>1</v>
      </c>
      <c r="AF279" s="8">
        <v>0</v>
      </c>
      <c r="AG279" s="8" t="s">
        <v>65</v>
      </c>
      <c r="AH279" s="8">
        <v>1</v>
      </c>
      <c r="AI279" s="8">
        <v>1</v>
      </c>
      <c r="AJ279" s="8">
        <v>1</v>
      </c>
      <c r="AK279" s="8">
        <v>1</v>
      </c>
      <c r="AR279" s="8">
        <v>3050</v>
      </c>
      <c r="AS279" s="8">
        <v>1310</v>
      </c>
      <c r="AT279">
        <v>7730641</v>
      </c>
      <c r="AU279" s="8" t="s">
        <v>66</v>
      </c>
      <c r="AW279" s="8">
        <v>0</v>
      </c>
    </row>
    <row r="280" spans="1:49" x14ac:dyDescent="0.25">
      <c r="A280" t="s">
        <v>1082</v>
      </c>
      <c r="C280" t="s">
        <v>1051</v>
      </c>
      <c r="D280" t="s">
        <v>1033</v>
      </c>
      <c r="E280">
        <v>1</v>
      </c>
      <c r="F280">
        <v>17.670000000000002</v>
      </c>
      <c r="G280">
        <v>750</v>
      </c>
      <c r="J280" t="s">
        <v>72</v>
      </c>
      <c r="K280" s="8">
        <v>1</v>
      </c>
      <c r="L280" s="8">
        <v>1</v>
      </c>
      <c r="M280" t="str">
        <f t="shared" si="4"/>
        <v>Stratifie-F206-Pietra Grigia noir-ST9</v>
      </c>
      <c r="N280" s="8">
        <v>0</v>
      </c>
      <c r="O280" s="8">
        <v>1</v>
      </c>
      <c r="P280" s="8">
        <v>0</v>
      </c>
      <c r="Q280" s="8" t="s">
        <v>1035</v>
      </c>
      <c r="R280" s="8" t="s">
        <v>62</v>
      </c>
      <c r="AB280" t="s">
        <v>73</v>
      </c>
      <c r="AD280" t="s">
        <v>74</v>
      </c>
      <c r="AE280" s="8">
        <v>1</v>
      </c>
      <c r="AF280" s="8">
        <v>0</v>
      </c>
      <c r="AG280" s="8" t="s">
        <v>65</v>
      </c>
      <c r="AH280" s="8">
        <v>1</v>
      </c>
      <c r="AI280" s="8">
        <v>1</v>
      </c>
      <c r="AJ280" s="8">
        <v>1</v>
      </c>
      <c r="AK280" s="8">
        <v>1</v>
      </c>
      <c r="AR280" s="8">
        <v>3050</v>
      </c>
      <c r="AS280" s="8">
        <v>1310</v>
      </c>
      <c r="AT280">
        <v>4751058</v>
      </c>
      <c r="AU280" s="8" t="s">
        <v>66</v>
      </c>
      <c r="AW280" s="8">
        <v>0</v>
      </c>
    </row>
    <row r="281" spans="1:49" x14ac:dyDescent="0.25">
      <c r="A281" t="s">
        <v>1083</v>
      </c>
      <c r="C281" t="s">
        <v>1051</v>
      </c>
      <c r="D281" t="s">
        <v>1033</v>
      </c>
      <c r="E281">
        <v>1</v>
      </c>
      <c r="F281">
        <v>14.65</v>
      </c>
      <c r="G281">
        <v>750</v>
      </c>
      <c r="J281" t="s">
        <v>76</v>
      </c>
      <c r="K281" s="8">
        <v>1</v>
      </c>
      <c r="L281" s="8">
        <v>1</v>
      </c>
      <c r="M281" t="str">
        <f t="shared" si="4"/>
        <v>Stratifie-F235-Ardoise Scivaro-ST76</v>
      </c>
      <c r="N281" s="8">
        <v>0</v>
      </c>
      <c r="O281" s="8">
        <v>1</v>
      </c>
      <c r="P281" s="8">
        <v>0</v>
      </c>
      <c r="Q281" s="8" t="s">
        <v>1035</v>
      </c>
      <c r="R281" s="8" t="s">
        <v>62</v>
      </c>
      <c r="AB281" t="s">
        <v>77</v>
      </c>
      <c r="AD281" t="s">
        <v>78</v>
      </c>
      <c r="AE281" s="8">
        <v>1</v>
      </c>
      <c r="AF281" s="8">
        <v>0</v>
      </c>
      <c r="AG281" s="8" t="s">
        <v>65</v>
      </c>
      <c r="AH281" s="8">
        <v>1</v>
      </c>
      <c r="AI281" s="8">
        <v>1</v>
      </c>
      <c r="AJ281" s="8">
        <v>1</v>
      </c>
      <c r="AK281" s="8">
        <v>1</v>
      </c>
      <c r="AR281" s="8">
        <v>3050</v>
      </c>
      <c r="AS281" s="8">
        <v>1310</v>
      </c>
      <c r="AT281">
        <v>4766510</v>
      </c>
      <c r="AU281" s="8" t="s">
        <v>66</v>
      </c>
      <c r="AW281" s="8">
        <v>0</v>
      </c>
    </row>
    <row r="282" spans="1:49" x14ac:dyDescent="0.25">
      <c r="A282" t="s">
        <v>1084</v>
      </c>
      <c r="C282" t="s">
        <v>1051</v>
      </c>
      <c r="D282" t="s">
        <v>1033</v>
      </c>
      <c r="E282">
        <v>1</v>
      </c>
      <c r="F282">
        <v>14.65</v>
      </c>
      <c r="G282">
        <v>750</v>
      </c>
      <c r="J282" t="s">
        <v>80</v>
      </c>
      <c r="K282" s="8">
        <v>1</v>
      </c>
      <c r="L282" s="8">
        <v>1</v>
      </c>
      <c r="M282" t="str">
        <f t="shared" si="4"/>
        <v>Stratifie-F237-Ardoise Cupria-ST76</v>
      </c>
      <c r="N282" s="8">
        <v>0</v>
      </c>
      <c r="O282" s="8">
        <v>1</v>
      </c>
      <c r="P282" s="8">
        <v>0</v>
      </c>
      <c r="Q282" s="8" t="s">
        <v>1035</v>
      </c>
      <c r="R282" s="8" t="s">
        <v>62</v>
      </c>
      <c r="AB282" t="s">
        <v>81</v>
      </c>
      <c r="AD282" t="s">
        <v>82</v>
      </c>
      <c r="AE282" s="8">
        <v>1</v>
      </c>
      <c r="AF282" s="8">
        <v>0</v>
      </c>
      <c r="AG282" s="8" t="s">
        <v>65</v>
      </c>
      <c r="AH282" s="8">
        <v>1</v>
      </c>
      <c r="AI282" s="8">
        <v>1</v>
      </c>
      <c r="AJ282" s="8">
        <v>1</v>
      </c>
      <c r="AK282" s="8">
        <v>1</v>
      </c>
      <c r="AR282" s="8">
        <v>3050</v>
      </c>
      <c r="AS282" s="8">
        <v>1310</v>
      </c>
      <c r="AT282">
        <v>4766511</v>
      </c>
      <c r="AU282" s="8" t="s">
        <v>66</v>
      </c>
      <c r="AW282" s="8">
        <v>0</v>
      </c>
    </row>
    <row r="283" spans="1:49" x14ac:dyDescent="0.25">
      <c r="A283" t="s">
        <v>1085</v>
      </c>
      <c r="C283" t="s">
        <v>1051</v>
      </c>
      <c r="D283" t="s">
        <v>1033</v>
      </c>
      <c r="E283">
        <v>1</v>
      </c>
      <c r="F283">
        <v>14.65</v>
      </c>
      <c r="G283">
        <v>750</v>
      </c>
      <c r="J283" t="s">
        <v>84</v>
      </c>
      <c r="K283" s="8">
        <v>1</v>
      </c>
      <c r="L283" s="8">
        <v>1</v>
      </c>
      <c r="M283" t="str">
        <f t="shared" si="4"/>
        <v>Stratifie-F243-Marbre Candela gris clair-ST76</v>
      </c>
      <c r="N283" s="8">
        <v>0</v>
      </c>
      <c r="O283" s="8">
        <v>1</v>
      </c>
      <c r="P283" s="8">
        <v>0</v>
      </c>
      <c r="Q283" s="8" t="s">
        <v>1035</v>
      </c>
      <c r="R283" s="8" t="s">
        <v>62</v>
      </c>
      <c r="AB283" t="s">
        <v>85</v>
      </c>
      <c r="AD283" t="s">
        <v>86</v>
      </c>
      <c r="AE283" s="8">
        <v>1</v>
      </c>
      <c r="AF283" s="8">
        <v>0</v>
      </c>
      <c r="AG283" s="8" t="s">
        <v>65</v>
      </c>
      <c r="AH283" s="8">
        <v>1</v>
      </c>
      <c r="AI283" s="8">
        <v>1</v>
      </c>
      <c r="AJ283" s="8">
        <v>1</v>
      </c>
      <c r="AK283" s="8">
        <v>1</v>
      </c>
      <c r="AR283" s="8">
        <v>3050</v>
      </c>
      <c r="AS283" s="8">
        <v>1310</v>
      </c>
      <c r="AT283">
        <v>4766512</v>
      </c>
      <c r="AU283" s="8" t="s">
        <v>66</v>
      </c>
      <c r="AW283" s="8">
        <v>0</v>
      </c>
    </row>
    <row r="284" spans="1:49" x14ac:dyDescent="0.25">
      <c r="A284" t="s">
        <v>1086</v>
      </c>
      <c r="C284" t="s">
        <v>1051</v>
      </c>
      <c r="D284" t="s">
        <v>1033</v>
      </c>
      <c r="E284">
        <v>1</v>
      </c>
      <c r="F284">
        <v>14.65</v>
      </c>
      <c r="G284">
        <v>750</v>
      </c>
      <c r="J284" t="s">
        <v>88</v>
      </c>
      <c r="K284" s="8">
        <v>1</v>
      </c>
      <c r="L284" s="8">
        <v>1</v>
      </c>
      <c r="M284" t="str">
        <f t="shared" si="4"/>
        <v>Stratifie-F244-Marbre Candela anthracite-ST76</v>
      </c>
      <c r="N284" s="8">
        <v>0</v>
      </c>
      <c r="O284" s="8">
        <v>1</v>
      </c>
      <c r="P284" s="8">
        <v>0</v>
      </c>
      <c r="Q284" s="8" t="s">
        <v>1035</v>
      </c>
      <c r="R284" s="8" t="s">
        <v>62</v>
      </c>
      <c r="AB284" t="s">
        <v>89</v>
      </c>
      <c r="AD284" t="s">
        <v>90</v>
      </c>
      <c r="AE284" s="8">
        <v>1</v>
      </c>
      <c r="AF284" s="8">
        <v>0</v>
      </c>
      <c r="AG284" s="8" t="s">
        <v>65</v>
      </c>
      <c r="AH284" s="8">
        <v>1</v>
      </c>
      <c r="AI284" s="8">
        <v>1</v>
      </c>
      <c r="AJ284" s="8">
        <v>1</v>
      </c>
      <c r="AK284" s="8">
        <v>1</v>
      </c>
      <c r="AR284" s="8">
        <v>3050</v>
      </c>
      <c r="AS284" s="8">
        <v>1310</v>
      </c>
      <c r="AT284">
        <v>4766513</v>
      </c>
      <c r="AU284" s="8" t="s">
        <v>66</v>
      </c>
      <c r="AW284" s="8">
        <v>0</v>
      </c>
    </row>
    <row r="285" spans="1:49" x14ac:dyDescent="0.25">
      <c r="A285" t="s">
        <v>1087</v>
      </c>
      <c r="C285" t="s">
        <v>1051</v>
      </c>
      <c r="D285" t="s">
        <v>1033</v>
      </c>
      <c r="E285">
        <v>1</v>
      </c>
      <c r="F285">
        <v>14.65</v>
      </c>
      <c r="G285">
        <v>750</v>
      </c>
      <c r="J285" t="s">
        <v>92</v>
      </c>
      <c r="K285" s="8">
        <v>1</v>
      </c>
      <c r="L285" s="8">
        <v>1</v>
      </c>
      <c r="M285" t="str">
        <f t="shared" si="4"/>
        <v>Stratifie-F323-Cobra bronze-ST20</v>
      </c>
      <c r="N285" s="8">
        <v>0</v>
      </c>
      <c r="O285" s="8">
        <v>1</v>
      </c>
      <c r="P285" s="8">
        <v>0</v>
      </c>
      <c r="Q285" s="8" t="s">
        <v>1035</v>
      </c>
      <c r="R285" s="8" t="s">
        <v>62</v>
      </c>
      <c r="AB285" t="s">
        <v>93</v>
      </c>
      <c r="AD285" t="s">
        <v>94</v>
      </c>
      <c r="AE285" s="8">
        <v>1</v>
      </c>
      <c r="AF285" s="8">
        <v>0</v>
      </c>
      <c r="AG285" s="8" t="s">
        <v>65</v>
      </c>
      <c r="AH285" s="8">
        <v>1</v>
      </c>
      <c r="AI285" s="8">
        <v>1</v>
      </c>
      <c r="AJ285" s="8">
        <v>1</v>
      </c>
      <c r="AK285" s="8">
        <v>1</v>
      </c>
      <c r="AR285" s="8">
        <v>3050</v>
      </c>
      <c r="AS285" s="8">
        <v>1310</v>
      </c>
      <c r="AT285">
        <v>4766514</v>
      </c>
      <c r="AU285" s="8" t="s">
        <v>66</v>
      </c>
      <c r="AW285" s="8">
        <v>0</v>
      </c>
    </row>
    <row r="286" spans="1:49" x14ac:dyDescent="0.25">
      <c r="A286" t="s">
        <v>1088</v>
      </c>
      <c r="C286" t="s">
        <v>1051</v>
      </c>
      <c r="D286" t="s">
        <v>1033</v>
      </c>
      <c r="E286">
        <v>0</v>
      </c>
      <c r="F286">
        <v>13.6</v>
      </c>
      <c r="G286">
        <v>750</v>
      </c>
      <c r="J286" t="s">
        <v>96</v>
      </c>
      <c r="K286" s="8">
        <v>1</v>
      </c>
      <c r="L286" s="8">
        <v>1</v>
      </c>
      <c r="M286" t="str">
        <f t="shared" si="4"/>
        <v>Stratifie-F416-Textile beige-ST10</v>
      </c>
      <c r="N286" s="8">
        <v>0</v>
      </c>
      <c r="O286" s="8">
        <v>1</v>
      </c>
      <c r="P286" s="8">
        <v>0</v>
      </c>
      <c r="Q286" s="8" t="s">
        <v>1035</v>
      </c>
      <c r="R286" s="8" t="s">
        <v>62</v>
      </c>
      <c r="AB286" t="s">
        <v>97</v>
      </c>
      <c r="AD286" t="s">
        <v>98</v>
      </c>
      <c r="AE286" s="8">
        <v>1</v>
      </c>
      <c r="AF286" s="8">
        <v>0</v>
      </c>
      <c r="AG286" s="8" t="s">
        <v>65</v>
      </c>
      <c r="AH286" s="8">
        <v>1</v>
      </c>
      <c r="AI286" s="8">
        <v>1</v>
      </c>
      <c r="AJ286" s="8">
        <v>1</v>
      </c>
      <c r="AK286" s="8">
        <v>1</v>
      </c>
      <c r="AR286" s="8">
        <v>3050</v>
      </c>
      <c r="AS286" s="8">
        <v>1310</v>
      </c>
      <c r="AT286">
        <v>7795189</v>
      </c>
      <c r="AU286" s="8" t="s">
        <v>66</v>
      </c>
      <c r="AW286" s="8">
        <v>0</v>
      </c>
    </row>
    <row r="287" spans="1:49" x14ac:dyDescent="0.25">
      <c r="A287" t="s">
        <v>1089</v>
      </c>
      <c r="C287" t="s">
        <v>1051</v>
      </c>
      <c r="D287" t="s">
        <v>1033</v>
      </c>
      <c r="E287">
        <v>0</v>
      </c>
      <c r="F287">
        <v>13.6</v>
      </c>
      <c r="G287">
        <v>750</v>
      </c>
      <c r="J287" t="s">
        <v>100</v>
      </c>
      <c r="K287" s="8">
        <v>1</v>
      </c>
      <c r="L287" s="8">
        <v>1</v>
      </c>
      <c r="M287" t="str">
        <f t="shared" si="4"/>
        <v>Stratifie-F417-Textile gris-ST10</v>
      </c>
      <c r="N287" s="8">
        <v>0</v>
      </c>
      <c r="O287" s="8">
        <v>1</v>
      </c>
      <c r="P287" s="8">
        <v>0</v>
      </c>
      <c r="Q287" s="8" t="s">
        <v>1035</v>
      </c>
      <c r="R287" s="8" t="s">
        <v>62</v>
      </c>
      <c r="AB287" t="s">
        <v>101</v>
      </c>
      <c r="AD287" t="s">
        <v>102</v>
      </c>
      <c r="AE287" s="8">
        <v>1</v>
      </c>
      <c r="AF287" s="8">
        <v>0</v>
      </c>
      <c r="AG287" s="8" t="s">
        <v>65</v>
      </c>
      <c r="AH287" s="8">
        <v>1</v>
      </c>
      <c r="AI287" s="8">
        <v>1</v>
      </c>
      <c r="AJ287" s="8">
        <v>1</v>
      </c>
      <c r="AK287" s="8">
        <v>1</v>
      </c>
      <c r="AR287" s="8">
        <v>3050</v>
      </c>
      <c r="AS287" s="8">
        <v>1310</v>
      </c>
      <c r="AT287">
        <v>7795190</v>
      </c>
      <c r="AU287" s="8" t="s">
        <v>66</v>
      </c>
      <c r="AW287" s="8">
        <v>0</v>
      </c>
    </row>
    <row r="288" spans="1:49" x14ac:dyDescent="0.25">
      <c r="A288" t="s">
        <v>1090</v>
      </c>
      <c r="C288" t="s">
        <v>1051</v>
      </c>
      <c r="D288" t="s">
        <v>1033</v>
      </c>
      <c r="E288">
        <v>0</v>
      </c>
      <c r="F288">
        <v>13.6</v>
      </c>
      <c r="G288">
        <v>750</v>
      </c>
      <c r="J288" t="s">
        <v>104</v>
      </c>
      <c r="K288" s="8">
        <v>1</v>
      </c>
      <c r="L288" s="8">
        <v>1</v>
      </c>
      <c r="M288" t="str">
        <f t="shared" si="4"/>
        <v>Stratifie-F422-Lin blanc-ST10</v>
      </c>
      <c r="N288" s="8">
        <v>0</v>
      </c>
      <c r="O288" s="8">
        <v>1</v>
      </c>
      <c r="P288" s="8">
        <v>0</v>
      </c>
      <c r="Q288" s="8" t="s">
        <v>1035</v>
      </c>
      <c r="R288" s="8" t="s">
        <v>62</v>
      </c>
      <c r="AB288" t="s">
        <v>105</v>
      </c>
      <c r="AD288" t="s">
        <v>106</v>
      </c>
      <c r="AE288" s="8">
        <v>1</v>
      </c>
      <c r="AF288" s="8">
        <v>0</v>
      </c>
      <c r="AG288" s="8" t="s">
        <v>65</v>
      </c>
      <c r="AH288" s="8">
        <v>1</v>
      </c>
      <c r="AI288" s="8">
        <v>1</v>
      </c>
      <c r="AJ288" s="8">
        <v>1</v>
      </c>
      <c r="AK288" s="8">
        <v>1</v>
      </c>
      <c r="AR288" s="8">
        <v>3050</v>
      </c>
      <c r="AS288" s="8">
        <v>1310</v>
      </c>
      <c r="AT288">
        <v>4766515</v>
      </c>
      <c r="AU288" s="8" t="s">
        <v>66</v>
      </c>
      <c r="AW288" s="8">
        <v>0</v>
      </c>
    </row>
    <row r="289" spans="1:49" x14ac:dyDescent="0.25">
      <c r="A289" t="s">
        <v>1091</v>
      </c>
      <c r="C289" t="s">
        <v>1051</v>
      </c>
      <c r="D289" t="s">
        <v>1033</v>
      </c>
      <c r="E289">
        <v>0</v>
      </c>
      <c r="F289">
        <v>13.6</v>
      </c>
      <c r="G289">
        <v>750</v>
      </c>
      <c r="J289" t="s">
        <v>108</v>
      </c>
      <c r="K289" s="8">
        <v>1</v>
      </c>
      <c r="L289" s="8">
        <v>1</v>
      </c>
      <c r="M289" t="str">
        <f t="shared" si="4"/>
        <v>Stratifie-F424-Lin taupe-ST10</v>
      </c>
      <c r="N289" s="8">
        <v>0</v>
      </c>
      <c r="O289" s="8">
        <v>1</v>
      </c>
      <c r="P289" s="8">
        <v>0</v>
      </c>
      <c r="Q289" s="8" t="s">
        <v>1035</v>
      </c>
      <c r="R289" s="8" t="s">
        <v>62</v>
      </c>
      <c r="AB289" t="s">
        <v>109</v>
      </c>
      <c r="AD289" t="s">
        <v>110</v>
      </c>
      <c r="AE289" s="8">
        <v>1</v>
      </c>
      <c r="AF289" s="8">
        <v>0</v>
      </c>
      <c r="AG289" s="8" t="s">
        <v>65</v>
      </c>
      <c r="AH289" s="8">
        <v>1</v>
      </c>
      <c r="AI289" s="8">
        <v>1</v>
      </c>
      <c r="AJ289" s="8">
        <v>1</v>
      </c>
      <c r="AK289" s="8">
        <v>1</v>
      </c>
      <c r="AR289" s="8">
        <v>3050</v>
      </c>
      <c r="AS289" s="8">
        <v>1310</v>
      </c>
      <c r="AT289">
        <v>7730646</v>
      </c>
      <c r="AU289" s="8" t="s">
        <v>66</v>
      </c>
      <c r="AW289" s="8">
        <v>0</v>
      </c>
    </row>
    <row r="290" spans="1:49" x14ac:dyDescent="0.25">
      <c r="A290" t="s">
        <v>1092</v>
      </c>
      <c r="C290" t="s">
        <v>1051</v>
      </c>
      <c r="D290" t="s">
        <v>1033</v>
      </c>
      <c r="E290">
        <v>0</v>
      </c>
      <c r="F290">
        <v>13.6</v>
      </c>
      <c r="G290">
        <v>750</v>
      </c>
      <c r="J290" t="s">
        <v>112</v>
      </c>
      <c r="K290" s="8">
        <v>1</v>
      </c>
      <c r="L290" s="8">
        <v>1</v>
      </c>
      <c r="M290" t="str">
        <f t="shared" si="4"/>
        <v>Stratifie-F433-Lin anthracite-ST10</v>
      </c>
      <c r="N290" s="8">
        <v>0</v>
      </c>
      <c r="O290" s="8">
        <v>1</v>
      </c>
      <c r="P290" s="8">
        <v>0</v>
      </c>
      <c r="Q290" s="8" t="s">
        <v>1035</v>
      </c>
      <c r="R290" s="8" t="s">
        <v>62</v>
      </c>
      <c r="AB290" t="s">
        <v>113</v>
      </c>
      <c r="AD290" t="s">
        <v>114</v>
      </c>
      <c r="AE290" s="8">
        <v>1</v>
      </c>
      <c r="AF290" s="8">
        <v>0</v>
      </c>
      <c r="AG290" s="8" t="s">
        <v>65</v>
      </c>
      <c r="AH290" s="8">
        <v>1</v>
      </c>
      <c r="AI290" s="8">
        <v>1</v>
      </c>
      <c r="AJ290" s="8">
        <v>1</v>
      </c>
      <c r="AK290" s="8">
        <v>1</v>
      </c>
      <c r="AR290" s="8">
        <v>3050</v>
      </c>
      <c r="AS290" s="8">
        <v>1310</v>
      </c>
      <c r="AT290">
        <v>7730647</v>
      </c>
      <c r="AU290" s="8" t="s">
        <v>66</v>
      </c>
      <c r="AW290" s="8">
        <v>0</v>
      </c>
    </row>
    <row r="291" spans="1:49" x14ac:dyDescent="0.25">
      <c r="A291" t="s">
        <v>1093</v>
      </c>
      <c r="C291" t="s">
        <v>1051</v>
      </c>
      <c r="D291" t="s">
        <v>1033</v>
      </c>
      <c r="E291">
        <v>0</v>
      </c>
      <c r="F291">
        <v>14.65</v>
      </c>
      <c r="G291">
        <v>750</v>
      </c>
      <c r="J291" t="s">
        <v>116</v>
      </c>
      <c r="K291" s="8">
        <v>1</v>
      </c>
      <c r="L291" s="8">
        <v>1</v>
      </c>
      <c r="M291" t="str">
        <f t="shared" si="4"/>
        <v>Stratifie-F434-Acier brosse cubanite-ST20</v>
      </c>
      <c r="N291" s="8">
        <v>0</v>
      </c>
      <c r="O291" s="8">
        <v>1</v>
      </c>
      <c r="P291" s="8">
        <v>0</v>
      </c>
      <c r="Q291" s="8" t="s">
        <v>1035</v>
      </c>
      <c r="R291" s="8" t="s">
        <v>62</v>
      </c>
      <c r="AB291" t="s">
        <v>117</v>
      </c>
      <c r="AD291" t="s">
        <v>118</v>
      </c>
      <c r="AE291" s="8">
        <v>1</v>
      </c>
      <c r="AF291" s="8">
        <v>0</v>
      </c>
      <c r="AG291" s="8" t="s">
        <v>65</v>
      </c>
      <c r="AH291" s="8">
        <v>1</v>
      </c>
      <c r="AI291" s="8">
        <v>1</v>
      </c>
      <c r="AJ291" s="8">
        <v>1</v>
      </c>
      <c r="AK291" s="8">
        <v>1</v>
      </c>
      <c r="AR291" s="8">
        <v>3050</v>
      </c>
      <c r="AS291" s="8">
        <v>1310</v>
      </c>
      <c r="AT291">
        <v>7795191</v>
      </c>
      <c r="AU291" s="8" t="s">
        <v>66</v>
      </c>
      <c r="AW291" s="8">
        <v>0</v>
      </c>
    </row>
    <row r="292" spans="1:49" x14ac:dyDescent="0.25">
      <c r="A292" t="s">
        <v>1094</v>
      </c>
      <c r="C292" t="s">
        <v>1051</v>
      </c>
      <c r="D292" t="s">
        <v>1033</v>
      </c>
      <c r="E292">
        <v>0</v>
      </c>
      <c r="F292">
        <v>13.6</v>
      </c>
      <c r="G292">
        <v>750</v>
      </c>
      <c r="J292" t="s">
        <v>120</v>
      </c>
      <c r="K292" s="8">
        <v>1</v>
      </c>
      <c r="L292" s="8">
        <v>1</v>
      </c>
      <c r="M292" t="str">
        <f t="shared" si="4"/>
        <v>Stratifie-F500-Metallic inox-ST20</v>
      </c>
      <c r="N292" s="8">
        <v>0</v>
      </c>
      <c r="O292" s="8">
        <v>1</v>
      </c>
      <c r="P292" s="8">
        <v>0</v>
      </c>
      <c r="Q292" s="8" t="s">
        <v>1035</v>
      </c>
      <c r="R292" s="8" t="s">
        <v>62</v>
      </c>
      <c r="AB292" t="s">
        <v>121</v>
      </c>
      <c r="AD292" t="s">
        <v>122</v>
      </c>
      <c r="AE292" s="8">
        <v>1</v>
      </c>
      <c r="AF292" s="8">
        <v>0</v>
      </c>
      <c r="AG292" s="8" t="s">
        <v>65</v>
      </c>
      <c r="AH292" s="8">
        <v>1</v>
      </c>
      <c r="AI292" s="8">
        <v>1</v>
      </c>
      <c r="AJ292" s="8">
        <v>1</v>
      </c>
      <c r="AK292" s="8">
        <v>1</v>
      </c>
      <c r="AR292" s="8">
        <v>3050</v>
      </c>
      <c r="AS292" s="8">
        <v>1310</v>
      </c>
      <c r="AT292">
        <v>7795197</v>
      </c>
      <c r="AU292" s="8" t="s">
        <v>66</v>
      </c>
      <c r="AW292" s="8">
        <v>0</v>
      </c>
    </row>
    <row r="293" spans="1:49" x14ac:dyDescent="0.25">
      <c r="A293" t="s">
        <v>1095</v>
      </c>
      <c r="C293" t="s">
        <v>1051</v>
      </c>
      <c r="D293" t="s">
        <v>1033</v>
      </c>
      <c r="E293">
        <v>1</v>
      </c>
      <c r="F293">
        <v>14.65</v>
      </c>
      <c r="G293">
        <v>750</v>
      </c>
      <c r="J293" t="s">
        <v>124</v>
      </c>
      <c r="K293" s="8">
        <v>1</v>
      </c>
      <c r="L293" s="8">
        <v>1</v>
      </c>
      <c r="M293" t="str">
        <f t="shared" si="4"/>
        <v>Stratifie-F527-Metal brosse or-ST20</v>
      </c>
      <c r="N293" s="8">
        <v>0</v>
      </c>
      <c r="O293" s="8">
        <v>1</v>
      </c>
      <c r="P293" s="8">
        <v>0</v>
      </c>
      <c r="Q293" s="8" t="s">
        <v>1035</v>
      </c>
      <c r="R293" s="8" t="s">
        <v>62</v>
      </c>
      <c r="AB293" t="s">
        <v>125</v>
      </c>
      <c r="AD293" t="s">
        <v>126</v>
      </c>
      <c r="AE293" s="8">
        <v>1</v>
      </c>
      <c r="AF293" s="8">
        <v>0</v>
      </c>
      <c r="AG293" s="8" t="s">
        <v>65</v>
      </c>
      <c r="AH293" s="8">
        <v>1</v>
      </c>
      <c r="AI293" s="8">
        <v>1</v>
      </c>
      <c r="AJ293" s="8">
        <v>1</v>
      </c>
      <c r="AK293" s="8">
        <v>1</v>
      </c>
      <c r="AR293" s="8">
        <v>3050</v>
      </c>
      <c r="AS293" s="8">
        <v>1310</v>
      </c>
      <c r="AT293">
        <v>4766517</v>
      </c>
      <c r="AU293" s="8" t="s">
        <v>66</v>
      </c>
      <c r="AW293" s="8">
        <v>0</v>
      </c>
    </row>
    <row r="294" spans="1:49" x14ac:dyDescent="0.25">
      <c r="A294" t="s">
        <v>1096</v>
      </c>
      <c r="C294" t="s">
        <v>1051</v>
      </c>
      <c r="D294" t="s">
        <v>1033</v>
      </c>
      <c r="E294">
        <v>1</v>
      </c>
      <c r="F294">
        <v>14.65</v>
      </c>
      <c r="G294">
        <v>750</v>
      </c>
      <c r="J294" t="s">
        <v>128</v>
      </c>
      <c r="K294" s="8">
        <v>1</v>
      </c>
      <c r="L294" s="8">
        <v>1</v>
      </c>
      <c r="M294" t="str">
        <f t="shared" si="4"/>
        <v>Stratifie-F528-Metal brosse bronze-ST20</v>
      </c>
      <c r="N294" s="8">
        <v>0</v>
      </c>
      <c r="O294" s="8">
        <v>1</v>
      </c>
      <c r="P294" s="8">
        <v>0</v>
      </c>
      <c r="Q294" s="8" t="s">
        <v>1035</v>
      </c>
      <c r="R294" s="8" t="s">
        <v>62</v>
      </c>
      <c r="AB294" t="s">
        <v>129</v>
      </c>
      <c r="AD294" t="s">
        <v>130</v>
      </c>
      <c r="AE294" s="8">
        <v>1</v>
      </c>
      <c r="AF294" s="8">
        <v>0</v>
      </c>
      <c r="AG294" s="8" t="s">
        <v>65</v>
      </c>
      <c r="AH294" s="8">
        <v>1</v>
      </c>
      <c r="AI294" s="8">
        <v>1</v>
      </c>
      <c r="AJ294" s="8">
        <v>1</v>
      </c>
      <c r="AK294" s="8">
        <v>1</v>
      </c>
      <c r="AR294" s="8">
        <v>3050</v>
      </c>
      <c r="AS294" s="8">
        <v>1310</v>
      </c>
      <c r="AT294">
        <v>4766518</v>
      </c>
      <c r="AU294" s="8" t="s">
        <v>66</v>
      </c>
      <c r="AW294" s="8">
        <v>0</v>
      </c>
    </row>
    <row r="295" spans="1:49" x14ac:dyDescent="0.25">
      <c r="A295" t="s">
        <v>1097</v>
      </c>
      <c r="C295" t="s">
        <v>1051</v>
      </c>
      <c r="D295" t="s">
        <v>1033</v>
      </c>
      <c r="E295">
        <v>0</v>
      </c>
      <c r="F295">
        <v>14.65</v>
      </c>
      <c r="G295">
        <v>750</v>
      </c>
      <c r="J295" t="s">
        <v>132</v>
      </c>
      <c r="K295" s="8">
        <v>1</v>
      </c>
      <c r="L295" s="8">
        <v>1</v>
      </c>
      <c r="M295" t="str">
        <f t="shared" si="4"/>
        <v>Stratifie-F634-Canevas gris-ST76</v>
      </c>
      <c r="N295" s="8">
        <v>0</v>
      </c>
      <c r="O295" s="8">
        <v>1</v>
      </c>
      <c r="P295" s="8">
        <v>0</v>
      </c>
      <c r="Q295" s="8" t="s">
        <v>1035</v>
      </c>
      <c r="R295" s="8" t="s">
        <v>62</v>
      </c>
      <c r="AB295" t="s">
        <v>133</v>
      </c>
      <c r="AD295" t="s">
        <v>134</v>
      </c>
      <c r="AE295" s="8">
        <v>1</v>
      </c>
      <c r="AF295" s="8">
        <v>0</v>
      </c>
      <c r="AG295" s="8" t="s">
        <v>65</v>
      </c>
      <c r="AH295" s="8">
        <v>1</v>
      </c>
      <c r="AI295" s="8">
        <v>1</v>
      </c>
      <c r="AJ295" s="8">
        <v>1</v>
      </c>
      <c r="AK295" s="8">
        <v>1</v>
      </c>
      <c r="AR295" s="8">
        <v>3050</v>
      </c>
      <c r="AS295" s="8">
        <v>1310</v>
      </c>
      <c r="AT295">
        <v>4766519</v>
      </c>
      <c r="AU295" s="8" t="s">
        <v>66</v>
      </c>
      <c r="AW295" s="8">
        <v>0</v>
      </c>
    </row>
    <row r="296" spans="1:49" x14ac:dyDescent="0.25">
      <c r="A296" t="s">
        <v>1098</v>
      </c>
      <c r="C296" t="s">
        <v>1051</v>
      </c>
      <c r="D296" t="s">
        <v>1033</v>
      </c>
      <c r="E296">
        <v>0</v>
      </c>
      <c r="F296">
        <v>14.65</v>
      </c>
      <c r="G296">
        <v>750</v>
      </c>
      <c r="J296" t="s">
        <v>136</v>
      </c>
      <c r="K296" s="8">
        <v>1</v>
      </c>
      <c r="L296" s="8">
        <v>1</v>
      </c>
      <c r="M296" t="str">
        <f t="shared" si="4"/>
        <v>Stratifie-F635-Canevas anthracite-ST76</v>
      </c>
      <c r="N296" s="8">
        <v>0</v>
      </c>
      <c r="O296" s="8">
        <v>1</v>
      </c>
      <c r="P296" s="8">
        <v>0</v>
      </c>
      <c r="Q296" s="8" t="s">
        <v>1035</v>
      </c>
      <c r="R296" s="8" t="s">
        <v>62</v>
      </c>
      <c r="AB296" t="s">
        <v>137</v>
      </c>
      <c r="AD296" t="s">
        <v>138</v>
      </c>
      <c r="AE296" s="8">
        <v>1</v>
      </c>
      <c r="AF296" s="8">
        <v>0</v>
      </c>
      <c r="AG296" s="8" t="s">
        <v>65</v>
      </c>
      <c r="AH296" s="8">
        <v>1</v>
      </c>
      <c r="AI296" s="8">
        <v>1</v>
      </c>
      <c r="AJ296" s="8">
        <v>1</v>
      </c>
      <c r="AK296" s="8">
        <v>1</v>
      </c>
      <c r="AR296" s="8">
        <v>3050</v>
      </c>
      <c r="AS296" s="8">
        <v>1310</v>
      </c>
      <c r="AT296">
        <v>4766520</v>
      </c>
      <c r="AU296" s="8" t="s">
        <v>66</v>
      </c>
      <c r="AW296" s="8">
        <v>0</v>
      </c>
    </row>
    <row r="297" spans="1:49" x14ac:dyDescent="0.25">
      <c r="A297" t="s">
        <v>1099</v>
      </c>
      <c r="C297" t="s">
        <v>1051</v>
      </c>
      <c r="D297" t="s">
        <v>1033</v>
      </c>
      <c r="E297">
        <v>1</v>
      </c>
      <c r="F297">
        <v>13.6</v>
      </c>
      <c r="G297">
        <v>750</v>
      </c>
      <c r="J297" t="s">
        <v>140</v>
      </c>
      <c r="K297" s="8">
        <v>1</v>
      </c>
      <c r="L297" s="8">
        <v>1</v>
      </c>
      <c r="M297" t="str">
        <f t="shared" si="4"/>
        <v>Stratifie-F637-Chromix blanc-ST10</v>
      </c>
      <c r="N297" s="8">
        <v>0</v>
      </c>
      <c r="O297" s="8">
        <v>1</v>
      </c>
      <c r="P297" s="8">
        <v>0</v>
      </c>
      <c r="Q297" s="8" t="s">
        <v>1035</v>
      </c>
      <c r="R297" s="8" t="s">
        <v>62</v>
      </c>
      <c r="AB297" t="s">
        <v>141</v>
      </c>
      <c r="AD297" t="s">
        <v>142</v>
      </c>
      <c r="AE297" s="8">
        <v>1</v>
      </c>
      <c r="AF297" s="8">
        <v>0</v>
      </c>
      <c r="AG297" s="8" t="s">
        <v>65</v>
      </c>
      <c r="AH297" s="8">
        <v>1</v>
      </c>
      <c r="AI297" s="8">
        <v>1</v>
      </c>
      <c r="AJ297" s="8">
        <v>1</v>
      </c>
      <c r="AK297" s="8">
        <v>1</v>
      </c>
      <c r="AR297" s="8">
        <v>3050</v>
      </c>
      <c r="AS297" s="8">
        <v>1310</v>
      </c>
      <c r="AT297">
        <v>4751056</v>
      </c>
      <c r="AU297" s="8" t="s">
        <v>66</v>
      </c>
      <c r="AW297" s="8">
        <v>0</v>
      </c>
    </row>
    <row r="298" spans="1:49" x14ac:dyDescent="0.25">
      <c r="A298" t="s">
        <v>1100</v>
      </c>
      <c r="C298" t="s">
        <v>1051</v>
      </c>
      <c r="D298" t="s">
        <v>1033</v>
      </c>
      <c r="E298">
        <v>1</v>
      </c>
      <c r="F298">
        <v>13.6</v>
      </c>
      <c r="G298">
        <v>750</v>
      </c>
      <c r="J298" t="s">
        <v>144</v>
      </c>
      <c r="K298" s="8">
        <v>1</v>
      </c>
      <c r="L298" s="8">
        <v>1</v>
      </c>
      <c r="M298" t="str">
        <f t="shared" si="4"/>
        <v>Stratifie-F638-Chromix argent-ST10</v>
      </c>
      <c r="N298" s="8">
        <v>0</v>
      </c>
      <c r="O298" s="8">
        <v>1</v>
      </c>
      <c r="P298" s="8">
        <v>0</v>
      </c>
      <c r="Q298" s="8" t="s">
        <v>1035</v>
      </c>
      <c r="R298" s="8" t="s">
        <v>62</v>
      </c>
      <c r="AB298" t="s">
        <v>145</v>
      </c>
      <c r="AD298" t="s">
        <v>146</v>
      </c>
      <c r="AE298" s="8">
        <v>1</v>
      </c>
      <c r="AF298" s="8">
        <v>0</v>
      </c>
      <c r="AG298" s="8" t="s">
        <v>65</v>
      </c>
      <c r="AH298" s="8">
        <v>1</v>
      </c>
      <c r="AI298" s="8">
        <v>1</v>
      </c>
      <c r="AJ298" s="8">
        <v>1</v>
      </c>
      <c r="AK298" s="8">
        <v>1</v>
      </c>
      <c r="AR298" s="8">
        <v>3050</v>
      </c>
      <c r="AS298" s="8">
        <v>1310</v>
      </c>
      <c r="AT298">
        <v>4751057</v>
      </c>
      <c r="AU298" s="8" t="s">
        <v>66</v>
      </c>
      <c r="AW298" s="8">
        <v>0</v>
      </c>
    </row>
    <row r="299" spans="1:49" x14ac:dyDescent="0.25">
      <c r="A299" t="s">
        <v>1101</v>
      </c>
      <c r="C299" t="s">
        <v>1051</v>
      </c>
      <c r="D299" t="s">
        <v>1033</v>
      </c>
      <c r="E299">
        <v>1</v>
      </c>
      <c r="F299">
        <v>13.6</v>
      </c>
      <c r="G299">
        <v>750</v>
      </c>
      <c r="J299" t="s">
        <v>148</v>
      </c>
      <c r="K299" s="8">
        <v>1</v>
      </c>
      <c r="L299" s="8">
        <v>1</v>
      </c>
      <c r="M299" t="str">
        <f t="shared" si="4"/>
        <v>Stratifie-F685-Acapulco-ST10</v>
      </c>
      <c r="N299" s="8">
        <v>0</v>
      </c>
      <c r="O299" s="8">
        <v>1</v>
      </c>
      <c r="P299" s="8">
        <v>0</v>
      </c>
      <c r="Q299" s="8" t="s">
        <v>1035</v>
      </c>
      <c r="R299" s="8" t="s">
        <v>62</v>
      </c>
      <c r="AB299" t="s">
        <v>149</v>
      </c>
      <c r="AD299" t="s">
        <v>150</v>
      </c>
      <c r="AE299" s="8">
        <v>1</v>
      </c>
      <c r="AF299" s="8">
        <v>0</v>
      </c>
      <c r="AG299" s="8" t="s">
        <v>65</v>
      </c>
      <c r="AH299" s="8">
        <v>1</v>
      </c>
      <c r="AI299" s="8">
        <v>1</v>
      </c>
      <c r="AJ299" s="8">
        <v>1</v>
      </c>
      <c r="AK299" s="8">
        <v>1</v>
      </c>
      <c r="AR299" s="8">
        <v>3050</v>
      </c>
      <c r="AS299" s="8">
        <v>1310</v>
      </c>
      <c r="AT299">
        <v>4766522</v>
      </c>
      <c r="AU299" s="8" t="s">
        <v>66</v>
      </c>
      <c r="AW299" s="8">
        <v>0</v>
      </c>
    </row>
    <row r="300" spans="1:49" x14ac:dyDescent="0.25">
      <c r="A300" t="s">
        <v>1102</v>
      </c>
      <c r="C300" t="s">
        <v>1051</v>
      </c>
      <c r="D300" t="s">
        <v>1033</v>
      </c>
      <c r="E300">
        <v>0</v>
      </c>
      <c r="F300">
        <v>13.6</v>
      </c>
      <c r="G300">
        <v>750</v>
      </c>
      <c r="J300" t="s">
        <v>152</v>
      </c>
      <c r="K300" s="8">
        <v>1</v>
      </c>
      <c r="L300" s="8">
        <v>1</v>
      </c>
      <c r="M300" t="str">
        <f t="shared" si="4"/>
        <v>Stratifie-F765-Gris argent brosse-ST20</v>
      </c>
      <c r="N300" s="8">
        <v>0</v>
      </c>
      <c r="O300" s="8">
        <v>1</v>
      </c>
      <c r="P300" s="8">
        <v>0</v>
      </c>
      <c r="Q300" s="8" t="s">
        <v>1035</v>
      </c>
      <c r="R300" s="8" t="s">
        <v>62</v>
      </c>
      <c r="AB300" t="s">
        <v>153</v>
      </c>
      <c r="AD300" t="s">
        <v>154</v>
      </c>
      <c r="AE300" s="8">
        <v>1</v>
      </c>
      <c r="AF300" s="8">
        <v>0</v>
      </c>
      <c r="AG300" s="8" t="s">
        <v>65</v>
      </c>
      <c r="AH300" s="8">
        <v>1</v>
      </c>
      <c r="AI300" s="8">
        <v>1</v>
      </c>
      <c r="AJ300" s="8">
        <v>1</v>
      </c>
      <c r="AK300" s="8">
        <v>1</v>
      </c>
      <c r="AR300" s="8">
        <v>3050</v>
      </c>
      <c r="AS300" s="8">
        <v>1310</v>
      </c>
      <c r="AT300">
        <v>4766523</v>
      </c>
      <c r="AU300" s="8" t="s">
        <v>66</v>
      </c>
      <c r="AW300" s="8">
        <v>0</v>
      </c>
    </row>
    <row r="301" spans="1:49" x14ac:dyDescent="0.25">
      <c r="A301" t="s">
        <v>1103</v>
      </c>
      <c r="C301" t="s">
        <v>1051</v>
      </c>
      <c r="D301" t="s">
        <v>1033</v>
      </c>
      <c r="E301">
        <v>1</v>
      </c>
      <c r="F301">
        <v>13.6</v>
      </c>
      <c r="G301">
        <v>750</v>
      </c>
      <c r="J301" t="s">
        <v>156</v>
      </c>
      <c r="K301" s="8">
        <v>1</v>
      </c>
      <c r="L301" s="8">
        <v>1</v>
      </c>
      <c r="M301" t="str">
        <f t="shared" si="4"/>
        <v>Stratifie-F800-Marbre cristal-ST9</v>
      </c>
      <c r="N301" s="8">
        <v>0</v>
      </c>
      <c r="O301" s="8">
        <v>1</v>
      </c>
      <c r="P301" s="8">
        <v>0</v>
      </c>
      <c r="Q301" s="8" t="s">
        <v>1035</v>
      </c>
      <c r="R301" s="8" t="s">
        <v>62</v>
      </c>
      <c r="AB301" t="s">
        <v>157</v>
      </c>
      <c r="AD301" t="s">
        <v>158</v>
      </c>
      <c r="AE301" s="8">
        <v>1</v>
      </c>
      <c r="AF301" s="8">
        <v>0</v>
      </c>
      <c r="AG301" s="8" t="s">
        <v>65</v>
      </c>
      <c r="AH301" s="8">
        <v>1</v>
      </c>
      <c r="AI301" s="8">
        <v>1</v>
      </c>
      <c r="AJ301" s="8">
        <v>1</v>
      </c>
      <c r="AK301" s="8">
        <v>1</v>
      </c>
      <c r="AR301" s="8">
        <v>3050</v>
      </c>
      <c r="AS301" s="8">
        <v>1310</v>
      </c>
      <c r="AT301">
        <v>4766524</v>
      </c>
      <c r="AU301" s="8" t="s">
        <v>66</v>
      </c>
      <c r="AW301" s="8">
        <v>0</v>
      </c>
    </row>
    <row r="302" spans="1:49" x14ac:dyDescent="0.25">
      <c r="A302" t="s">
        <v>1104</v>
      </c>
      <c r="C302" t="s">
        <v>1051</v>
      </c>
      <c r="D302" t="s">
        <v>1033</v>
      </c>
      <c r="E302">
        <v>1</v>
      </c>
      <c r="F302">
        <v>13.6</v>
      </c>
      <c r="G302">
        <v>750</v>
      </c>
      <c r="J302" t="s">
        <v>160</v>
      </c>
      <c r="K302" s="8">
        <v>1</v>
      </c>
      <c r="L302" s="8">
        <v>1</v>
      </c>
      <c r="M302" t="str">
        <f t="shared" si="4"/>
        <v>Stratifie-F812-Marbre Levanto blanc-ST9</v>
      </c>
      <c r="N302" s="8">
        <v>0</v>
      </c>
      <c r="O302" s="8">
        <v>1</v>
      </c>
      <c r="P302" s="8">
        <v>0</v>
      </c>
      <c r="Q302" s="8" t="s">
        <v>1035</v>
      </c>
      <c r="R302" s="8" t="s">
        <v>62</v>
      </c>
      <c r="AB302" t="s">
        <v>161</v>
      </c>
      <c r="AD302" t="s">
        <v>162</v>
      </c>
      <c r="AE302" s="8">
        <v>1</v>
      </c>
      <c r="AF302" s="8">
        <v>0</v>
      </c>
      <c r="AG302" s="8" t="s">
        <v>65</v>
      </c>
      <c r="AH302" s="8">
        <v>1</v>
      </c>
      <c r="AI302" s="8">
        <v>1</v>
      </c>
      <c r="AJ302" s="8">
        <v>1</v>
      </c>
      <c r="AK302" s="8">
        <v>1</v>
      </c>
      <c r="AR302" s="8">
        <v>3050</v>
      </c>
      <c r="AS302" s="8">
        <v>1310</v>
      </c>
      <c r="AT302">
        <v>7795202</v>
      </c>
      <c r="AU302" s="8" t="s">
        <v>66</v>
      </c>
      <c r="AW302" s="8">
        <v>0</v>
      </c>
    </row>
    <row r="303" spans="1:49" x14ac:dyDescent="0.25">
      <c r="A303" t="s">
        <v>1105</v>
      </c>
      <c r="C303" t="s">
        <v>1051</v>
      </c>
      <c r="D303" t="s">
        <v>1033</v>
      </c>
      <c r="E303">
        <v>1</v>
      </c>
      <c r="F303">
        <v>13.6</v>
      </c>
      <c r="G303">
        <v>750</v>
      </c>
      <c r="J303" t="s">
        <v>164</v>
      </c>
      <c r="K303" s="8">
        <v>1</v>
      </c>
      <c r="L303" s="8">
        <v>1</v>
      </c>
      <c r="M303" t="str">
        <f t="shared" si="4"/>
        <v>Stratifie-H1113-Chene du Kansas marron-ST10</v>
      </c>
      <c r="N303" s="8">
        <v>1</v>
      </c>
      <c r="O303" s="8">
        <v>1</v>
      </c>
      <c r="P303" s="8">
        <v>0</v>
      </c>
      <c r="Q303" s="8" t="s">
        <v>1035</v>
      </c>
      <c r="R303" s="8" t="s">
        <v>62</v>
      </c>
      <c r="AB303" t="s">
        <v>165</v>
      </c>
      <c r="AD303" t="s">
        <v>166</v>
      </c>
      <c r="AE303" s="8">
        <v>1</v>
      </c>
      <c r="AF303" s="8">
        <v>0</v>
      </c>
      <c r="AG303" s="8" t="s">
        <v>65</v>
      </c>
      <c r="AH303" s="8">
        <v>1</v>
      </c>
      <c r="AI303" s="8">
        <v>1</v>
      </c>
      <c r="AJ303" s="8">
        <v>1</v>
      </c>
      <c r="AK303" s="8">
        <v>1</v>
      </c>
      <c r="AR303" s="8">
        <v>3050</v>
      </c>
      <c r="AS303" s="8">
        <v>1310</v>
      </c>
      <c r="AT303">
        <v>7730651</v>
      </c>
      <c r="AU303" s="8" t="s">
        <v>66</v>
      </c>
      <c r="AW303" s="8">
        <v>0</v>
      </c>
    </row>
    <row r="304" spans="1:49" x14ac:dyDescent="0.25">
      <c r="A304" t="s">
        <v>1106</v>
      </c>
      <c r="C304" t="s">
        <v>1051</v>
      </c>
      <c r="D304" t="s">
        <v>1033</v>
      </c>
      <c r="E304">
        <v>1</v>
      </c>
      <c r="F304">
        <v>14.65</v>
      </c>
      <c r="G304">
        <v>750</v>
      </c>
      <c r="J304" t="s">
        <v>168</v>
      </c>
      <c r="K304" s="8">
        <v>1</v>
      </c>
      <c r="L304" s="8">
        <v>1</v>
      </c>
      <c r="M304" t="str">
        <f t="shared" si="4"/>
        <v>Stratifie-H1142-Chene Sacramento marron-ST36</v>
      </c>
      <c r="N304" s="8">
        <v>1</v>
      </c>
      <c r="O304" s="8">
        <v>1</v>
      </c>
      <c r="P304" s="8">
        <v>0</v>
      </c>
      <c r="Q304" s="8" t="s">
        <v>1035</v>
      </c>
      <c r="R304" s="8" t="s">
        <v>62</v>
      </c>
      <c r="AB304" t="s">
        <v>169</v>
      </c>
      <c r="AD304" t="s">
        <v>170</v>
      </c>
      <c r="AE304" s="8">
        <v>1</v>
      </c>
      <c r="AF304" s="8">
        <v>0</v>
      </c>
      <c r="AG304" s="8" t="s">
        <v>65</v>
      </c>
      <c r="AH304" s="8">
        <v>1</v>
      </c>
      <c r="AI304" s="8">
        <v>1</v>
      </c>
      <c r="AJ304" s="8">
        <v>1</v>
      </c>
      <c r="AK304" s="8">
        <v>1</v>
      </c>
      <c r="AR304" s="8">
        <v>3050</v>
      </c>
      <c r="AS304" s="8">
        <v>1310</v>
      </c>
      <c r="AT304">
        <v>4766525</v>
      </c>
      <c r="AU304" s="8" t="s">
        <v>66</v>
      </c>
      <c r="AW304" s="8">
        <v>0</v>
      </c>
    </row>
    <row r="305" spans="1:49" x14ac:dyDescent="0.25">
      <c r="A305" t="s">
        <v>1107</v>
      </c>
      <c r="C305" t="s">
        <v>1051</v>
      </c>
      <c r="D305" t="s">
        <v>1033</v>
      </c>
      <c r="E305">
        <v>1</v>
      </c>
      <c r="F305">
        <v>14.65</v>
      </c>
      <c r="G305">
        <v>750</v>
      </c>
      <c r="J305" t="s">
        <v>172</v>
      </c>
      <c r="K305" s="8">
        <v>1</v>
      </c>
      <c r="L305" s="8">
        <v>1</v>
      </c>
      <c r="M305" t="str">
        <f t="shared" si="4"/>
        <v>Stratifie-H1143-Chene Sacramento gris-ST36</v>
      </c>
      <c r="N305" s="8">
        <v>1</v>
      </c>
      <c r="O305" s="8">
        <v>1</v>
      </c>
      <c r="P305" s="8">
        <v>0</v>
      </c>
      <c r="Q305" s="8" t="s">
        <v>1035</v>
      </c>
      <c r="R305" s="8" t="s">
        <v>62</v>
      </c>
      <c r="AB305" t="s">
        <v>173</v>
      </c>
      <c r="AD305" t="s">
        <v>174</v>
      </c>
      <c r="AE305" s="8">
        <v>1</v>
      </c>
      <c r="AF305" s="8">
        <v>0</v>
      </c>
      <c r="AG305" s="8" t="s">
        <v>65</v>
      </c>
      <c r="AH305" s="8">
        <v>1</v>
      </c>
      <c r="AI305" s="8">
        <v>1</v>
      </c>
      <c r="AJ305" s="8">
        <v>1</v>
      </c>
      <c r="AK305" s="8">
        <v>1</v>
      </c>
      <c r="AR305" s="8">
        <v>3050</v>
      </c>
      <c r="AS305" s="8">
        <v>1310</v>
      </c>
      <c r="AT305">
        <v>4766526</v>
      </c>
      <c r="AU305" s="8" t="s">
        <v>66</v>
      </c>
      <c r="AW305" s="8">
        <v>0</v>
      </c>
    </row>
    <row r="306" spans="1:49" x14ac:dyDescent="0.25">
      <c r="A306" t="s">
        <v>1108</v>
      </c>
      <c r="C306" t="s">
        <v>1051</v>
      </c>
      <c r="D306" t="s">
        <v>1033</v>
      </c>
      <c r="E306">
        <v>1</v>
      </c>
      <c r="F306">
        <v>12.27</v>
      </c>
      <c r="G306">
        <v>750</v>
      </c>
      <c r="J306" t="s">
        <v>176</v>
      </c>
      <c r="K306" s="8">
        <v>1</v>
      </c>
      <c r="L306" s="8">
        <v>1</v>
      </c>
      <c r="M306" t="str">
        <f t="shared" si="4"/>
        <v>Stratifie-H1145-Chene Bardolino naturel-ST10</v>
      </c>
      <c r="N306" s="8">
        <v>1</v>
      </c>
      <c r="O306" s="8">
        <v>1</v>
      </c>
      <c r="P306" s="8">
        <v>0</v>
      </c>
      <c r="Q306" s="8" t="s">
        <v>1035</v>
      </c>
      <c r="R306" s="8" t="s">
        <v>62</v>
      </c>
      <c r="AB306" t="s">
        <v>177</v>
      </c>
      <c r="AD306" t="s">
        <v>178</v>
      </c>
      <c r="AE306" s="8">
        <v>1</v>
      </c>
      <c r="AF306" s="8">
        <v>0</v>
      </c>
      <c r="AG306" s="8" t="s">
        <v>65</v>
      </c>
      <c r="AH306" s="8">
        <v>1</v>
      </c>
      <c r="AI306" s="8">
        <v>1</v>
      </c>
      <c r="AJ306" s="8">
        <v>1</v>
      </c>
      <c r="AK306" s="8">
        <v>1</v>
      </c>
      <c r="AR306" s="8">
        <v>3050</v>
      </c>
      <c r="AS306" s="8">
        <v>1310</v>
      </c>
      <c r="AT306">
        <v>7730656</v>
      </c>
      <c r="AU306" s="8" t="s">
        <v>66</v>
      </c>
      <c r="AW306" s="8">
        <v>0</v>
      </c>
    </row>
    <row r="307" spans="1:49" x14ac:dyDescent="0.25">
      <c r="A307" t="s">
        <v>1109</v>
      </c>
      <c r="C307" t="s">
        <v>1051</v>
      </c>
      <c r="D307" t="s">
        <v>1033</v>
      </c>
      <c r="E307">
        <v>1</v>
      </c>
      <c r="F307">
        <v>15.69</v>
      </c>
      <c r="G307">
        <v>750</v>
      </c>
      <c r="J307" t="s">
        <v>180</v>
      </c>
      <c r="K307" s="8">
        <v>1</v>
      </c>
      <c r="L307" s="8">
        <v>1</v>
      </c>
      <c r="M307" t="str">
        <f t="shared" si="4"/>
        <v>Stratifie-H1176-Chene Halifax blanc-ST37</v>
      </c>
      <c r="N307" s="8">
        <v>1</v>
      </c>
      <c r="O307" s="8">
        <v>1</v>
      </c>
      <c r="P307" s="8">
        <v>0</v>
      </c>
      <c r="Q307" s="8" t="s">
        <v>1035</v>
      </c>
      <c r="R307" s="8" t="s">
        <v>62</v>
      </c>
      <c r="AB307" t="s">
        <v>181</v>
      </c>
      <c r="AD307" t="s">
        <v>182</v>
      </c>
      <c r="AE307" s="8">
        <v>1</v>
      </c>
      <c r="AF307" s="8">
        <v>0</v>
      </c>
      <c r="AG307" s="8" t="s">
        <v>65</v>
      </c>
      <c r="AH307" s="8">
        <v>1</v>
      </c>
      <c r="AI307" s="8">
        <v>1</v>
      </c>
      <c r="AJ307" s="8">
        <v>1</v>
      </c>
      <c r="AK307" s="8">
        <v>1</v>
      </c>
      <c r="AR307" s="8">
        <v>3050</v>
      </c>
      <c r="AS307" s="8">
        <v>1310</v>
      </c>
      <c r="AT307">
        <v>6593696</v>
      </c>
      <c r="AU307" s="8" t="s">
        <v>66</v>
      </c>
      <c r="AW307" s="8">
        <v>0</v>
      </c>
    </row>
    <row r="308" spans="1:49" x14ac:dyDescent="0.25">
      <c r="A308" t="s">
        <v>1110</v>
      </c>
      <c r="C308" t="s">
        <v>1051</v>
      </c>
      <c r="D308" t="s">
        <v>1033</v>
      </c>
      <c r="E308">
        <v>1</v>
      </c>
      <c r="F308">
        <v>15.69</v>
      </c>
      <c r="G308">
        <v>750</v>
      </c>
      <c r="J308" t="s">
        <v>184</v>
      </c>
      <c r="K308" s="8">
        <v>1</v>
      </c>
      <c r="L308" s="8">
        <v>1</v>
      </c>
      <c r="M308" t="str">
        <f t="shared" si="4"/>
        <v>Stratifie-H1180-Chene Halifax naturel-ST37</v>
      </c>
      <c r="N308" s="8">
        <v>1</v>
      </c>
      <c r="O308" s="8">
        <v>1</v>
      </c>
      <c r="P308" s="8">
        <v>0</v>
      </c>
      <c r="Q308" s="8" t="s">
        <v>1035</v>
      </c>
      <c r="R308" s="8" t="s">
        <v>62</v>
      </c>
      <c r="AB308" t="s">
        <v>185</v>
      </c>
      <c r="AD308" t="s">
        <v>186</v>
      </c>
      <c r="AE308" s="8">
        <v>1</v>
      </c>
      <c r="AF308" s="8">
        <v>0</v>
      </c>
      <c r="AG308" s="8" t="s">
        <v>65</v>
      </c>
      <c r="AH308" s="8">
        <v>1</v>
      </c>
      <c r="AI308" s="8">
        <v>1</v>
      </c>
      <c r="AJ308" s="8">
        <v>1</v>
      </c>
      <c r="AK308" s="8">
        <v>1</v>
      </c>
      <c r="AR308" s="8">
        <v>3050</v>
      </c>
      <c r="AS308" s="8">
        <v>1310</v>
      </c>
      <c r="AT308">
        <v>6427871</v>
      </c>
      <c r="AU308" s="8" t="s">
        <v>66</v>
      </c>
      <c r="AW308" s="8">
        <v>0</v>
      </c>
    </row>
    <row r="309" spans="1:49" x14ac:dyDescent="0.25">
      <c r="A309" t="s">
        <v>1111</v>
      </c>
      <c r="C309" t="s">
        <v>1051</v>
      </c>
      <c r="D309" t="s">
        <v>1033</v>
      </c>
      <c r="E309">
        <v>1</v>
      </c>
      <c r="F309">
        <v>15.69</v>
      </c>
      <c r="G309">
        <v>750</v>
      </c>
      <c r="J309" t="s">
        <v>188</v>
      </c>
      <c r="K309" s="8">
        <v>1</v>
      </c>
      <c r="L309" s="8">
        <v>1</v>
      </c>
      <c r="M309" t="str">
        <f t="shared" si="4"/>
        <v>Stratifie-H1181-Chene Halifax tabac-ST37</v>
      </c>
      <c r="N309" s="8">
        <v>1</v>
      </c>
      <c r="O309" s="8">
        <v>1</v>
      </c>
      <c r="P309" s="8">
        <v>0</v>
      </c>
      <c r="Q309" s="8" t="s">
        <v>1035</v>
      </c>
      <c r="R309" s="8" t="s">
        <v>62</v>
      </c>
      <c r="AB309" t="s">
        <v>189</v>
      </c>
      <c r="AD309" t="s">
        <v>190</v>
      </c>
      <c r="AE309" s="8">
        <v>1</v>
      </c>
      <c r="AF309" s="8">
        <v>0</v>
      </c>
      <c r="AG309" s="8" t="s">
        <v>65</v>
      </c>
      <c r="AH309" s="8">
        <v>1</v>
      </c>
      <c r="AI309" s="8">
        <v>1</v>
      </c>
      <c r="AJ309" s="8">
        <v>1</v>
      </c>
      <c r="AK309" s="8">
        <v>1</v>
      </c>
      <c r="AR309" s="8">
        <v>3050</v>
      </c>
      <c r="AS309" s="8">
        <v>1310</v>
      </c>
      <c r="AT309">
        <v>6427872</v>
      </c>
      <c r="AU309" s="8" t="s">
        <v>66</v>
      </c>
      <c r="AW309" s="8">
        <v>0</v>
      </c>
    </row>
    <row r="310" spans="1:49" x14ac:dyDescent="0.25">
      <c r="A310" t="s">
        <v>1112</v>
      </c>
      <c r="C310" t="s">
        <v>1051</v>
      </c>
      <c r="D310" t="s">
        <v>1033</v>
      </c>
      <c r="E310">
        <v>1</v>
      </c>
      <c r="F310">
        <v>13.6</v>
      </c>
      <c r="G310">
        <v>750</v>
      </c>
      <c r="J310" t="s">
        <v>192</v>
      </c>
      <c r="K310" s="8">
        <v>1</v>
      </c>
      <c r="L310" s="8">
        <v>1</v>
      </c>
      <c r="M310" t="str">
        <f t="shared" si="4"/>
        <v>Stratifie-H1199-Chene thermo noir-ST12</v>
      </c>
      <c r="N310" s="8">
        <v>1</v>
      </c>
      <c r="O310" s="8">
        <v>1</v>
      </c>
      <c r="P310" s="8">
        <v>0</v>
      </c>
      <c r="Q310" s="8" t="s">
        <v>1035</v>
      </c>
      <c r="R310" s="8" t="s">
        <v>62</v>
      </c>
      <c r="AB310" t="s">
        <v>193</v>
      </c>
      <c r="AD310" t="s">
        <v>194</v>
      </c>
      <c r="AE310" s="8">
        <v>1</v>
      </c>
      <c r="AF310" s="8">
        <v>0</v>
      </c>
      <c r="AG310" s="8" t="s">
        <v>65</v>
      </c>
      <c r="AH310" s="8">
        <v>1</v>
      </c>
      <c r="AI310" s="8">
        <v>1</v>
      </c>
      <c r="AJ310" s="8">
        <v>1</v>
      </c>
      <c r="AK310" s="8">
        <v>1</v>
      </c>
      <c r="AR310" s="8">
        <v>3050</v>
      </c>
      <c r="AS310" s="8">
        <v>1310</v>
      </c>
      <c r="AT310">
        <v>7730660</v>
      </c>
      <c r="AU310" s="8" t="s">
        <v>66</v>
      </c>
      <c r="AW310" s="8">
        <v>0</v>
      </c>
    </row>
    <row r="311" spans="1:49" x14ac:dyDescent="0.25">
      <c r="A311" t="s">
        <v>1113</v>
      </c>
      <c r="C311" t="s">
        <v>1051</v>
      </c>
      <c r="D311" t="s">
        <v>1033</v>
      </c>
      <c r="E311">
        <v>1</v>
      </c>
      <c r="F311">
        <v>13.6</v>
      </c>
      <c r="G311">
        <v>750</v>
      </c>
      <c r="J311" t="s">
        <v>196</v>
      </c>
      <c r="K311" s="8">
        <v>1</v>
      </c>
      <c r="L311" s="8">
        <v>1</v>
      </c>
      <c r="M311" t="str">
        <f t="shared" si="4"/>
        <v>Stratifie-H1223-Frene Seville-ST19</v>
      </c>
      <c r="N311" s="8">
        <v>1</v>
      </c>
      <c r="O311" s="8">
        <v>1</v>
      </c>
      <c r="P311" s="8">
        <v>0</v>
      </c>
      <c r="Q311" s="8" t="s">
        <v>1035</v>
      </c>
      <c r="R311" s="8" t="s">
        <v>62</v>
      </c>
      <c r="AB311" t="s">
        <v>197</v>
      </c>
      <c r="AD311" t="s">
        <v>198</v>
      </c>
      <c r="AE311" s="8">
        <v>1</v>
      </c>
      <c r="AF311" s="8">
        <v>0</v>
      </c>
      <c r="AG311" s="8" t="s">
        <v>65</v>
      </c>
      <c r="AH311" s="8">
        <v>1</v>
      </c>
      <c r="AI311" s="8">
        <v>1</v>
      </c>
      <c r="AJ311" s="8">
        <v>1</v>
      </c>
      <c r="AK311" s="8">
        <v>1</v>
      </c>
      <c r="AR311" s="8">
        <v>3050</v>
      </c>
      <c r="AS311" s="8">
        <v>1310</v>
      </c>
      <c r="AT311">
        <v>4766527</v>
      </c>
      <c r="AU311" s="8" t="s">
        <v>66</v>
      </c>
      <c r="AW311" s="8">
        <v>0</v>
      </c>
    </row>
    <row r="312" spans="1:49" x14ac:dyDescent="0.25">
      <c r="A312" t="s">
        <v>1114</v>
      </c>
      <c r="C312" t="s">
        <v>1051</v>
      </c>
      <c r="D312" t="s">
        <v>1033</v>
      </c>
      <c r="E312">
        <v>1</v>
      </c>
      <c r="F312">
        <v>13.6</v>
      </c>
      <c r="G312">
        <v>750</v>
      </c>
      <c r="J312" t="s">
        <v>200</v>
      </c>
      <c r="K312" s="8">
        <v>1</v>
      </c>
      <c r="L312" s="8">
        <v>1</v>
      </c>
      <c r="M312" t="str">
        <f t="shared" si="4"/>
        <v>Stratifie-H1225-Frene Trondheim-ST12</v>
      </c>
      <c r="N312" s="8">
        <v>1</v>
      </c>
      <c r="O312" s="8">
        <v>1</v>
      </c>
      <c r="P312" s="8">
        <v>0</v>
      </c>
      <c r="Q312" s="8" t="s">
        <v>1035</v>
      </c>
      <c r="R312" s="8" t="s">
        <v>62</v>
      </c>
      <c r="AB312" t="s">
        <v>201</v>
      </c>
      <c r="AD312" t="s">
        <v>202</v>
      </c>
      <c r="AE312" s="8">
        <v>1</v>
      </c>
      <c r="AF312" s="8">
        <v>0</v>
      </c>
      <c r="AG312" s="8" t="s">
        <v>65</v>
      </c>
      <c r="AH312" s="8">
        <v>1</v>
      </c>
      <c r="AI312" s="8">
        <v>1</v>
      </c>
      <c r="AJ312" s="8">
        <v>1</v>
      </c>
      <c r="AK312" s="8">
        <v>1</v>
      </c>
      <c r="AR312" s="8">
        <v>3050</v>
      </c>
      <c r="AS312" s="8">
        <v>1310</v>
      </c>
      <c r="AT312">
        <v>4766528</v>
      </c>
      <c r="AU312" s="8" t="s">
        <v>66</v>
      </c>
      <c r="AW312" s="8">
        <v>0</v>
      </c>
    </row>
    <row r="313" spans="1:49" x14ac:dyDescent="0.25">
      <c r="A313" t="s">
        <v>1115</v>
      </c>
      <c r="C313" t="s">
        <v>1051</v>
      </c>
      <c r="D313" t="s">
        <v>1033</v>
      </c>
      <c r="E313">
        <v>1</v>
      </c>
      <c r="F313">
        <v>13.6</v>
      </c>
      <c r="G313">
        <v>750</v>
      </c>
      <c r="J313" t="s">
        <v>204</v>
      </c>
      <c r="K313" s="8">
        <v>1</v>
      </c>
      <c r="L313" s="8">
        <v>1</v>
      </c>
      <c r="M313" t="str">
        <f t="shared" si="4"/>
        <v>Stratifie-H1242-Acacia Sheffield naturel-ST10</v>
      </c>
      <c r="N313" s="8">
        <v>1</v>
      </c>
      <c r="O313" s="8">
        <v>1</v>
      </c>
      <c r="P313" s="8">
        <v>0</v>
      </c>
      <c r="Q313" s="8" t="s">
        <v>1035</v>
      </c>
      <c r="R313" s="8" t="s">
        <v>62</v>
      </c>
      <c r="AB313" t="s">
        <v>205</v>
      </c>
      <c r="AD313" t="s">
        <v>206</v>
      </c>
      <c r="AE313" s="8">
        <v>1</v>
      </c>
      <c r="AF313" s="8">
        <v>0</v>
      </c>
      <c r="AG313" s="8" t="s">
        <v>65</v>
      </c>
      <c r="AH313" s="8">
        <v>1</v>
      </c>
      <c r="AI313" s="8">
        <v>1</v>
      </c>
      <c r="AJ313" s="8">
        <v>1</v>
      </c>
      <c r="AK313" s="8">
        <v>1</v>
      </c>
      <c r="AR313" s="8">
        <v>3050</v>
      </c>
      <c r="AS313" s="8">
        <v>1310</v>
      </c>
      <c r="AT313">
        <v>4766529</v>
      </c>
      <c r="AU313" s="8" t="s">
        <v>66</v>
      </c>
      <c r="AW313" s="8">
        <v>0</v>
      </c>
    </row>
    <row r="314" spans="1:49" x14ac:dyDescent="0.25">
      <c r="A314" t="s">
        <v>1116</v>
      </c>
      <c r="C314" t="s">
        <v>1051</v>
      </c>
      <c r="D314" t="s">
        <v>1033</v>
      </c>
      <c r="E314">
        <v>1</v>
      </c>
      <c r="F314">
        <v>14.65</v>
      </c>
      <c r="G314">
        <v>750</v>
      </c>
      <c r="J314" t="s">
        <v>208</v>
      </c>
      <c r="K314" s="8">
        <v>1</v>
      </c>
      <c r="L314" s="8">
        <v>1</v>
      </c>
      <c r="M314" t="str">
        <f t="shared" si="4"/>
        <v>Stratifie-H1250-Frene Navarra sable-ST36</v>
      </c>
      <c r="N314" s="8">
        <v>1</v>
      </c>
      <c r="O314" s="8">
        <v>1</v>
      </c>
      <c r="P314" s="8">
        <v>0</v>
      </c>
      <c r="Q314" s="8" t="s">
        <v>1035</v>
      </c>
      <c r="R314" s="8" t="s">
        <v>62</v>
      </c>
      <c r="AB314" t="s">
        <v>209</v>
      </c>
      <c r="AD314" t="s">
        <v>210</v>
      </c>
      <c r="AE314" s="8">
        <v>1</v>
      </c>
      <c r="AF314" s="8">
        <v>0</v>
      </c>
      <c r="AG314" s="8" t="s">
        <v>65</v>
      </c>
      <c r="AH314" s="8">
        <v>1</v>
      </c>
      <c r="AI314" s="8">
        <v>1</v>
      </c>
      <c r="AJ314" s="8">
        <v>1</v>
      </c>
      <c r="AK314" s="8">
        <v>1</v>
      </c>
      <c r="AR314" s="8">
        <v>3050</v>
      </c>
      <c r="AS314" s="8">
        <v>1310</v>
      </c>
      <c r="AT314">
        <v>7730661</v>
      </c>
      <c r="AU314" s="8" t="s">
        <v>66</v>
      </c>
      <c r="AW314" s="8">
        <v>0</v>
      </c>
    </row>
    <row r="315" spans="1:49" x14ac:dyDescent="0.25">
      <c r="A315" t="s">
        <v>1117</v>
      </c>
      <c r="C315" t="s">
        <v>1051</v>
      </c>
      <c r="D315" t="s">
        <v>1033</v>
      </c>
      <c r="E315">
        <v>1</v>
      </c>
      <c r="F315">
        <v>12.27</v>
      </c>
      <c r="G315">
        <v>750</v>
      </c>
      <c r="J315" t="s">
        <v>212</v>
      </c>
      <c r="K315" s="8">
        <v>1</v>
      </c>
      <c r="L315" s="8">
        <v>1</v>
      </c>
      <c r="M315" t="str">
        <f t="shared" si="4"/>
        <v>Stratifie-H1277-Acacia de Lakeland creme-ST9</v>
      </c>
      <c r="N315" s="8">
        <v>1</v>
      </c>
      <c r="O315" s="8">
        <v>1</v>
      </c>
      <c r="P315" s="8">
        <v>0</v>
      </c>
      <c r="Q315" s="8" t="s">
        <v>1035</v>
      </c>
      <c r="R315" s="8" t="s">
        <v>62</v>
      </c>
      <c r="AB315" t="s">
        <v>213</v>
      </c>
      <c r="AD315" t="s">
        <v>214</v>
      </c>
      <c r="AE315" s="8">
        <v>1</v>
      </c>
      <c r="AF315" s="8">
        <v>0</v>
      </c>
      <c r="AG315" s="8" t="s">
        <v>65</v>
      </c>
      <c r="AH315" s="8">
        <v>1</v>
      </c>
      <c r="AI315" s="8">
        <v>1</v>
      </c>
      <c r="AJ315" s="8">
        <v>1</v>
      </c>
      <c r="AK315" s="8">
        <v>1</v>
      </c>
      <c r="AR315" s="8">
        <v>3050</v>
      </c>
      <c r="AS315" s="8">
        <v>1310</v>
      </c>
      <c r="AT315">
        <v>7730662</v>
      </c>
      <c r="AU315" s="8" t="s">
        <v>66</v>
      </c>
      <c r="AW315" s="8">
        <v>0</v>
      </c>
    </row>
    <row r="316" spans="1:49" x14ac:dyDescent="0.25">
      <c r="A316" t="s">
        <v>1118</v>
      </c>
      <c r="C316" t="s">
        <v>1051</v>
      </c>
      <c r="D316" t="s">
        <v>1033</v>
      </c>
      <c r="E316">
        <v>1</v>
      </c>
      <c r="F316">
        <v>13.6</v>
      </c>
      <c r="G316">
        <v>750</v>
      </c>
      <c r="J316" t="s">
        <v>216</v>
      </c>
      <c r="K316" s="8">
        <v>1</v>
      </c>
      <c r="L316" s="8">
        <v>1</v>
      </c>
      <c r="M316" t="str">
        <f t="shared" si="4"/>
        <v>Stratifie-H1303-Chene Belmont marron-ST12</v>
      </c>
      <c r="N316" s="8">
        <v>1</v>
      </c>
      <c r="O316" s="8">
        <v>1</v>
      </c>
      <c r="P316" s="8">
        <v>0</v>
      </c>
      <c r="Q316" s="8" t="s">
        <v>1035</v>
      </c>
      <c r="R316" s="8" t="s">
        <v>62</v>
      </c>
      <c r="AB316" t="s">
        <v>217</v>
      </c>
      <c r="AD316" t="s">
        <v>218</v>
      </c>
      <c r="AE316" s="8">
        <v>1</v>
      </c>
      <c r="AF316" s="8">
        <v>0</v>
      </c>
      <c r="AG316" s="8" t="s">
        <v>65</v>
      </c>
      <c r="AH316" s="8">
        <v>1</v>
      </c>
      <c r="AI316" s="8">
        <v>1</v>
      </c>
      <c r="AJ316" s="8">
        <v>1</v>
      </c>
      <c r="AK316" s="8">
        <v>1</v>
      </c>
      <c r="AR316" s="8">
        <v>3050</v>
      </c>
      <c r="AS316" s="8">
        <v>1310</v>
      </c>
      <c r="AT316">
        <v>4766530</v>
      </c>
      <c r="AU316" s="8" t="s">
        <v>66</v>
      </c>
      <c r="AW316" s="8">
        <v>0</v>
      </c>
    </row>
    <row r="317" spans="1:49" x14ac:dyDescent="0.25">
      <c r="A317" t="s">
        <v>1119</v>
      </c>
      <c r="C317" t="s">
        <v>1051</v>
      </c>
      <c r="D317" t="s">
        <v>1033</v>
      </c>
      <c r="E317">
        <v>1</v>
      </c>
      <c r="F317">
        <v>13.6</v>
      </c>
      <c r="G317">
        <v>750</v>
      </c>
      <c r="J317" t="s">
        <v>220</v>
      </c>
      <c r="K317" s="8">
        <v>1</v>
      </c>
      <c r="L317" s="8">
        <v>1</v>
      </c>
      <c r="M317" t="str">
        <f t="shared" si="4"/>
        <v>Stratifie-H1307-Noyer Warmia brun-ST19</v>
      </c>
      <c r="N317" s="8">
        <v>1</v>
      </c>
      <c r="O317" s="8">
        <v>1</v>
      </c>
      <c r="P317" s="8">
        <v>0</v>
      </c>
      <c r="Q317" s="8" t="s">
        <v>1035</v>
      </c>
      <c r="R317" s="8" t="s">
        <v>62</v>
      </c>
      <c r="AB317" t="s">
        <v>221</v>
      </c>
      <c r="AD317" t="s">
        <v>222</v>
      </c>
      <c r="AE317" s="8">
        <v>1</v>
      </c>
      <c r="AF317" s="8">
        <v>0</v>
      </c>
      <c r="AG317" s="8" t="s">
        <v>65</v>
      </c>
      <c r="AH317" s="8">
        <v>1</v>
      </c>
      <c r="AI317" s="8">
        <v>1</v>
      </c>
      <c r="AJ317" s="8">
        <v>1</v>
      </c>
      <c r="AK317" s="8">
        <v>1</v>
      </c>
      <c r="AR317" s="8">
        <v>3050</v>
      </c>
      <c r="AS317" s="8">
        <v>1310</v>
      </c>
      <c r="AT317">
        <v>4766531</v>
      </c>
      <c r="AU317" s="8" t="s">
        <v>66</v>
      </c>
      <c r="AW317" s="8">
        <v>0</v>
      </c>
    </row>
    <row r="318" spans="1:49" x14ac:dyDescent="0.25">
      <c r="A318" t="s">
        <v>1120</v>
      </c>
      <c r="C318" t="s">
        <v>1051</v>
      </c>
      <c r="D318" t="s">
        <v>1033</v>
      </c>
      <c r="E318">
        <v>1</v>
      </c>
      <c r="F318">
        <v>13.6</v>
      </c>
      <c r="G318">
        <v>750</v>
      </c>
      <c r="J318" t="s">
        <v>224</v>
      </c>
      <c r="K318" s="8">
        <v>1</v>
      </c>
      <c r="L318" s="8">
        <v>1</v>
      </c>
      <c r="M318" t="str">
        <f t="shared" si="4"/>
        <v>Stratifie-H1312-Chene Whiteriver ceruse sable-ST10</v>
      </c>
      <c r="N318" s="8">
        <v>1</v>
      </c>
      <c r="O318" s="8">
        <v>1</v>
      </c>
      <c r="P318" s="8">
        <v>0</v>
      </c>
      <c r="Q318" s="8" t="s">
        <v>1035</v>
      </c>
      <c r="R318" s="8" t="s">
        <v>62</v>
      </c>
      <c r="AB318" t="s">
        <v>225</v>
      </c>
      <c r="AD318" t="s">
        <v>226</v>
      </c>
      <c r="AE318" s="8">
        <v>1</v>
      </c>
      <c r="AF318" s="8">
        <v>0</v>
      </c>
      <c r="AG318" s="8" t="s">
        <v>65</v>
      </c>
      <c r="AH318" s="8">
        <v>1</v>
      </c>
      <c r="AI318" s="8">
        <v>1</v>
      </c>
      <c r="AJ318" s="8">
        <v>1</v>
      </c>
      <c r="AK318" s="8">
        <v>1</v>
      </c>
      <c r="AR318" s="8">
        <v>3050</v>
      </c>
      <c r="AS318" s="8">
        <v>1310</v>
      </c>
      <c r="AT318">
        <v>7795209</v>
      </c>
      <c r="AU318" s="8" t="s">
        <v>66</v>
      </c>
      <c r="AW318" s="8">
        <v>0</v>
      </c>
    </row>
    <row r="319" spans="1:49" x14ac:dyDescent="0.25">
      <c r="A319" t="s">
        <v>1121</v>
      </c>
      <c r="C319" t="s">
        <v>1051</v>
      </c>
      <c r="D319" t="s">
        <v>1033</v>
      </c>
      <c r="E319">
        <v>1</v>
      </c>
      <c r="F319">
        <v>13.6</v>
      </c>
      <c r="G319">
        <v>750</v>
      </c>
      <c r="J319" t="s">
        <v>228</v>
      </c>
      <c r="K319" s="8">
        <v>1</v>
      </c>
      <c r="L319" s="8">
        <v>1</v>
      </c>
      <c r="M319" t="str">
        <f t="shared" si="4"/>
        <v>Stratifie-H1313-Chene Whiteriver ceruse gris-ST10</v>
      </c>
      <c r="N319" s="8">
        <v>1</v>
      </c>
      <c r="O319" s="8">
        <v>1</v>
      </c>
      <c r="P319" s="8">
        <v>0</v>
      </c>
      <c r="Q319" s="8" t="s">
        <v>1035</v>
      </c>
      <c r="R319" s="8" t="s">
        <v>62</v>
      </c>
      <c r="AB319" t="s">
        <v>229</v>
      </c>
      <c r="AD319" t="s">
        <v>230</v>
      </c>
      <c r="AE319" s="8">
        <v>1</v>
      </c>
      <c r="AF319" s="8">
        <v>0</v>
      </c>
      <c r="AG319" s="8" t="s">
        <v>65</v>
      </c>
      <c r="AH319" s="8">
        <v>1</v>
      </c>
      <c r="AI319" s="8">
        <v>1</v>
      </c>
      <c r="AJ319" s="8">
        <v>1</v>
      </c>
      <c r="AK319" s="8">
        <v>1</v>
      </c>
      <c r="AR319" s="8">
        <v>3050</v>
      </c>
      <c r="AS319" s="8">
        <v>1310</v>
      </c>
      <c r="AT319">
        <v>7795210</v>
      </c>
      <c r="AU319" s="8" t="s">
        <v>66</v>
      </c>
      <c r="AW319" s="8">
        <v>0</v>
      </c>
    </row>
    <row r="320" spans="1:49" x14ac:dyDescent="0.25">
      <c r="A320" t="s">
        <v>1122</v>
      </c>
      <c r="C320" t="s">
        <v>1051</v>
      </c>
      <c r="D320" t="s">
        <v>1033</v>
      </c>
      <c r="E320">
        <v>1</v>
      </c>
      <c r="F320">
        <v>13.6</v>
      </c>
      <c r="G320">
        <v>750</v>
      </c>
      <c r="J320" t="s">
        <v>232</v>
      </c>
      <c r="K320" s="8">
        <v>1</v>
      </c>
      <c r="L320" s="8">
        <v>1</v>
      </c>
      <c r="M320" t="str">
        <f t="shared" si="4"/>
        <v>Stratifie-H1318-Chene sauvage naturel-ST10</v>
      </c>
      <c r="N320" s="8">
        <v>1</v>
      </c>
      <c r="O320" s="8">
        <v>1</v>
      </c>
      <c r="P320" s="8">
        <v>0</v>
      </c>
      <c r="Q320" s="8" t="s">
        <v>1035</v>
      </c>
      <c r="R320" s="8" t="s">
        <v>62</v>
      </c>
      <c r="AB320" t="s">
        <v>233</v>
      </c>
      <c r="AD320" t="s">
        <v>234</v>
      </c>
      <c r="AE320" s="8">
        <v>1</v>
      </c>
      <c r="AF320" s="8">
        <v>0</v>
      </c>
      <c r="AG320" s="8" t="s">
        <v>65</v>
      </c>
      <c r="AH320" s="8">
        <v>1</v>
      </c>
      <c r="AI320" s="8">
        <v>1</v>
      </c>
      <c r="AJ320" s="8">
        <v>1</v>
      </c>
      <c r="AK320" s="8">
        <v>1</v>
      </c>
      <c r="AR320" s="8">
        <v>3050</v>
      </c>
      <c r="AS320" s="8">
        <v>1310</v>
      </c>
      <c r="AT320">
        <v>7795211</v>
      </c>
      <c r="AU320" s="8" t="s">
        <v>66</v>
      </c>
      <c r="AW320" s="8">
        <v>0</v>
      </c>
    </row>
    <row r="321" spans="1:49" x14ac:dyDescent="0.25">
      <c r="A321" t="s">
        <v>1123</v>
      </c>
      <c r="C321" t="s">
        <v>1051</v>
      </c>
      <c r="D321" t="s">
        <v>1033</v>
      </c>
      <c r="E321">
        <v>1</v>
      </c>
      <c r="F321">
        <v>13.6</v>
      </c>
      <c r="G321">
        <v>750</v>
      </c>
      <c r="J321" t="s">
        <v>236</v>
      </c>
      <c r="K321" s="8">
        <v>1</v>
      </c>
      <c r="L321" s="8">
        <v>1</v>
      </c>
      <c r="M321" t="str">
        <f t="shared" si="4"/>
        <v>Stratifie-H1330-Chene Santa Fe vintage-ST10</v>
      </c>
      <c r="N321" s="8">
        <v>1</v>
      </c>
      <c r="O321" s="8">
        <v>1</v>
      </c>
      <c r="P321" s="8">
        <v>0</v>
      </c>
      <c r="Q321" s="8" t="s">
        <v>1035</v>
      </c>
      <c r="R321" s="8" t="s">
        <v>62</v>
      </c>
      <c r="AB321" t="s">
        <v>237</v>
      </c>
      <c r="AD321" t="s">
        <v>238</v>
      </c>
      <c r="AE321" s="8">
        <v>1</v>
      </c>
      <c r="AF321" s="8">
        <v>0</v>
      </c>
      <c r="AG321" s="8" t="s">
        <v>65</v>
      </c>
      <c r="AH321" s="8">
        <v>1</v>
      </c>
      <c r="AI321" s="8">
        <v>1</v>
      </c>
      <c r="AJ321" s="8">
        <v>1</v>
      </c>
      <c r="AK321" s="8">
        <v>1</v>
      </c>
      <c r="AR321" s="8">
        <v>3050</v>
      </c>
      <c r="AS321" s="8">
        <v>1310</v>
      </c>
      <c r="AT321">
        <v>7795212</v>
      </c>
      <c r="AU321" s="8" t="s">
        <v>66</v>
      </c>
      <c r="AW321" s="8">
        <v>0</v>
      </c>
    </row>
    <row r="322" spans="1:49" x14ac:dyDescent="0.25">
      <c r="A322" t="s">
        <v>1124</v>
      </c>
      <c r="C322" t="s">
        <v>1051</v>
      </c>
      <c r="D322" t="s">
        <v>1033</v>
      </c>
      <c r="E322">
        <v>1</v>
      </c>
      <c r="F322">
        <v>13.6</v>
      </c>
      <c r="G322">
        <v>750</v>
      </c>
      <c r="J322" t="s">
        <v>240</v>
      </c>
      <c r="K322" s="8">
        <v>1</v>
      </c>
      <c r="L322" s="8">
        <v>1</v>
      </c>
      <c r="M322" t="str">
        <f t="shared" si="4"/>
        <v>Stratifie-H1334-Chene Sorano clair-ST9</v>
      </c>
      <c r="N322" s="8">
        <v>1</v>
      </c>
      <c r="O322" s="8">
        <v>1</v>
      </c>
      <c r="P322" s="8">
        <v>0</v>
      </c>
      <c r="Q322" s="8" t="s">
        <v>1035</v>
      </c>
      <c r="R322" s="8" t="s">
        <v>62</v>
      </c>
      <c r="AB322" t="s">
        <v>241</v>
      </c>
      <c r="AD322" t="s">
        <v>242</v>
      </c>
      <c r="AE322" s="8">
        <v>1</v>
      </c>
      <c r="AF322" s="8">
        <v>0</v>
      </c>
      <c r="AG322" s="8" t="s">
        <v>65</v>
      </c>
      <c r="AH322" s="8">
        <v>1</v>
      </c>
      <c r="AI322" s="8">
        <v>1</v>
      </c>
      <c r="AJ322" s="8">
        <v>1</v>
      </c>
      <c r="AK322" s="8">
        <v>1</v>
      </c>
      <c r="AR322" s="8">
        <v>3050</v>
      </c>
      <c r="AS322" s="8">
        <v>1310</v>
      </c>
      <c r="AT322">
        <v>7730664</v>
      </c>
      <c r="AU322" s="8" t="s">
        <v>66</v>
      </c>
      <c r="AW322" s="8">
        <v>0</v>
      </c>
    </row>
    <row r="323" spans="1:49" x14ac:dyDescent="0.25">
      <c r="A323" t="s">
        <v>1125</v>
      </c>
      <c r="C323" t="s">
        <v>1051</v>
      </c>
      <c r="D323" t="s">
        <v>1033</v>
      </c>
      <c r="E323">
        <v>1</v>
      </c>
      <c r="F323">
        <v>15.69</v>
      </c>
      <c r="G323">
        <v>750</v>
      </c>
      <c r="J323" t="s">
        <v>244</v>
      </c>
      <c r="K323" s="8">
        <v>1</v>
      </c>
      <c r="L323" s="8">
        <v>1</v>
      </c>
      <c r="M323" t="str">
        <f t="shared" si="4"/>
        <v>Stratifie-H1344-Chene Sherman cognac-ST32</v>
      </c>
      <c r="N323" s="8">
        <v>1</v>
      </c>
      <c r="O323" s="8">
        <v>1</v>
      </c>
      <c r="P323" s="8">
        <v>0</v>
      </c>
      <c r="Q323" s="8" t="s">
        <v>1035</v>
      </c>
      <c r="R323" s="8" t="s">
        <v>62</v>
      </c>
      <c r="AB323" t="s">
        <v>245</v>
      </c>
      <c r="AD323" t="s">
        <v>246</v>
      </c>
      <c r="AE323" s="8">
        <v>1</v>
      </c>
      <c r="AF323" s="8">
        <v>0</v>
      </c>
      <c r="AG323" s="8" t="s">
        <v>65</v>
      </c>
      <c r="AH323" s="8">
        <v>1</v>
      </c>
      <c r="AI323" s="8">
        <v>1</v>
      </c>
      <c r="AJ323" s="8">
        <v>1</v>
      </c>
      <c r="AK323" s="8">
        <v>1</v>
      </c>
      <c r="AR323" s="8">
        <v>3050</v>
      </c>
      <c r="AS323" s="8">
        <v>1310</v>
      </c>
      <c r="AT323">
        <v>7795245</v>
      </c>
      <c r="AU323" s="8" t="s">
        <v>66</v>
      </c>
      <c r="AW323" s="8">
        <v>0</v>
      </c>
    </row>
    <row r="324" spans="1:49" x14ac:dyDescent="0.25">
      <c r="A324" t="s">
        <v>1126</v>
      </c>
      <c r="C324" t="s">
        <v>1051</v>
      </c>
      <c r="D324" t="s">
        <v>1033</v>
      </c>
      <c r="E324">
        <v>1</v>
      </c>
      <c r="F324">
        <v>15.69</v>
      </c>
      <c r="G324">
        <v>750</v>
      </c>
      <c r="J324" t="s">
        <v>248</v>
      </c>
      <c r="K324" s="8">
        <v>1</v>
      </c>
      <c r="L324" s="8">
        <v>1</v>
      </c>
      <c r="M324" t="str">
        <f t="shared" si="4"/>
        <v>Stratifie-H1346-Chene Sherman anthracite-ST32</v>
      </c>
      <c r="N324" s="8">
        <v>1</v>
      </c>
      <c r="O324" s="8">
        <v>1</v>
      </c>
      <c r="P324" s="8">
        <v>0</v>
      </c>
      <c r="Q324" s="8" t="s">
        <v>1035</v>
      </c>
      <c r="R324" s="8" t="s">
        <v>62</v>
      </c>
      <c r="AB324" t="s">
        <v>249</v>
      </c>
      <c r="AD324" t="s">
        <v>250</v>
      </c>
      <c r="AE324" s="8">
        <v>1</v>
      </c>
      <c r="AF324" s="8">
        <v>0</v>
      </c>
      <c r="AG324" s="8" t="s">
        <v>65</v>
      </c>
      <c r="AH324" s="8">
        <v>1</v>
      </c>
      <c r="AI324" s="8">
        <v>1</v>
      </c>
      <c r="AJ324" s="8">
        <v>1</v>
      </c>
      <c r="AK324" s="8">
        <v>1</v>
      </c>
      <c r="AR324" s="8">
        <v>3050</v>
      </c>
      <c r="AS324" s="8">
        <v>1310</v>
      </c>
      <c r="AT324">
        <v>7795247</v>
      </c>
      <c r="AU324" s="8" t="s">
        <v>66</v>
      </c>
      <c r="AW324" s="8">
        <v>0</v>
      </c>
    </row>
    <row r="325" spans="1:49" x14ac:dyDescent="0.25">
      <c r="A325" t="s">
        <v>1127</v>
      </c>
      <c r="C325" t="s">
        <v>1051</v>
      </c>
      <c r="D325" t="s">
        <v>1033</v>
      </c>
      <c r="E325">
        <v>1</v>
      </c>
      <c r="F325">
        <v>13.6</v>
      </c>
      <c r="G325">
        <v>750</v>
      </c>
      <c r="J325" t="s">
        <v>252</v>
      </c>
      <c r="K325" s="8">
        <v>1</v>
      </c>
      <c r="L325" s="8">
        <v>1</v>
      </c>
      <c r="M325" t="str">
        <f t="shared" ref="M325:M388" si="5">IF(ISNUMBER(SEARCH("Melamine",A325)),_xlfn.CONCAT(A325," ",D325," mm"),A325)</f>
        <v>Stratifie-H1357-Chene Spree grege-ST10</v>
      </c>
      <c r="N325" s="8">
        <v>1</v>
      </c>
      <c r="O325" s="8">
        <v>1</v>
      </c>
      <c r="P325" s="8">
        <v>0</v>
      </c>
      <c r="Q325" s="8" t="s">
        <v>1035</v>
      </c>
      <c r="R325" s="8" t="s">
        <v>62</v>
      </c>
      <c r="AB325" t="s">
        <v>253</v>
      </c>
      <c r="AD325" t="s">
        <v>254</v>
      </c>
      <c r="AE325" s="8">
        <v>1</v>
      </c>
      <c r="AF325" s="8">
        <v>0</v>
      </c>
      <c r="AG325" s="8" t="s">
        <v>65</v>
      </c>
      <c r="AH325" s="8">
        <v>1</v>
      </c>
      <c r="AI325" s="8">
        <v>1</v>
      </c>
      <c r="AJ325" s="8">
        <v>1</v>
      </c>
      <c r="AK325" s="8">
        <v>1</v>
      </c>
      <c r="AR325" s="8">
        <v>3050</v>
      </c>
      <c r="AS325" s="8">
        <v>1310</v>
      </c>
      <c r="AT325">
        <v>4766532</v>
      </c>
      <c r="AU325" s="8" t="s">
        <v>66</v>
      </c>
      <c r="AW325" s="8">
        <v>0</v>
      </c>
    </row>
    <row r="326" spans="1:49" x14ac:dyDescent="0.25">
      <c r="A326" t="s">
        <v>1128</v>
      </c>
      <c r="C326" t="s">
        <v>1051</v>
      </c>
      <c r="D326" t="s">
        <v>1033</v>
      </c>
      <c r="E326">
        <v>1</v>
      </c>
      <c r="F326">
        <v>13.6</v>
      </c>
      <c r="G326">
        <v>750</v>
      </c>
      <c r="J326" t="s">
        <v>256</v>
      </c>
      <c r="K326" s="8">
        <v>1</v>
      </c>
      <c r="L326" s="8">
        <v>1</v>
      </c>
      <c r="M326" t="str">
        <f t="shared" si="5"/>
        <v>Stratifie-H1362-Chene Baronia clair-ST12</v>
      </c>
      <c r="N326" s="8">
        <v>1</v>
      </c>
      <c r="O326" s="8">
        <v>1</v>
      </c>
      <c r="P326" s="8">
        <v>0</v>
      </c>
      <c r="Q326" s="8" t="s">
        <v>1035</v>
      </c>
      <c r="R326" s="8" t="s">
        <v>62</v>
      </c>
      <c r="AB326" t="s">
        <v>257</v>
      </c>
      <c r="AD326" t="s">
        <v>258</v>
      </c>
      <c r="AE326" s="8">
        <v>1</v>
      </c>
      <c r="AF326" s="8">
        <v>0</v>
      </c>
      <c r="AG326" s="8" t="s">
        <v>65</v>
      </c>
      <c r="AH326" s="8">
        <v>1</v>
      </c>
      <c r="AI326" s="8">
        <v>1</v>
      </c>
      <c r="AJ326" s="8">
        <v>1</v>
      </c>
      <c r="AK326" s="8">
        <v>1</v>
      </c>
      <c r="AR326" s="8">
        <v>3050</v>
      </c>
      <c r="AS326" s="8">
        <v>1310</v>
      </c>
      <c r="AT326">
        <v>4766533</v>
      </c>
      <c r="AU326" s="8" t="s">
        <v>66</v>
      </c>
      <c r="AW326" s="8">
        <v>0</v>
      </c>
    </row>
    <row r="327" spans="1:49" x14ac:dyDescent="0.25">
      <c r="A327" t="s">
        <v>1129</v>
      </c>
      <c r="C327" t="s">
        <v>1051</v>
      </c>
      <c r="D327" t="s">
        <v>1033</v>
      </c>
      <c r="E327">
        <v>1</v>
      </c>
      <c r="F327">
        <v>15.69</v>
      </c>
      <c r="G327">
        <v>750</v>
      </c>
      <c r="J327" t="s">
        <v>260</v>
      </c>
      <c r="K327" s="8">
        <v>1</v>
      </c>
      <c r="L327" s="8">
        <v>1</v>
      </c>
      <c r="M327" t="str">
        <f t="shared" si="5"/>
        <v>Stratifie-H1367-Chene Casella naturel clair-ST40</v>
      </c>
      <c r="N327" s="8">
        <v>1</v>
      </c>
      <c r="O327" s="8">
        <v>1</v>
      </c>
      <c r="P327" s="8">
        <v>0</v>
      </c>
      <c r="Q327" s="8" t="s">
        <v>1035</v>
      </c>
      <c r="R327" s="8" t="s">
        <v>62</v>
      </c>
      <c r="AB327" t="s">
        <v>261</v>
      </c>
      <c r="AD327" t="s">
        <v>262</v>
      </c>
      <c r="AE327" s="8">
        <v>1</v>
      </c>
      <c r="AF327" s="8">
        <v>0</v>
      </c>
      <c r="AG327" s="8" t="s">
        <v>65</v>
      </c>
      <c r="AH327" s="8">
        <v>1</v>
      </c>
      <c r="AI327" s="8">
        <v>1</v>
      </c>
      <c r="AJ327" s="8">
        <v>1</v>
      </c>
      <c r="AK327" s="8">
        <v>1</v>
      </c>
      <c r="AR327" s="8">
        <v>3050</v>
      </c>
      <c r="AS327" s="8">
        <v>1310</v>
      </c>
      <c r="AT327">
        <v>4766577</v>
      </c>
      <c r="AU327" s="8" t="s">
        <v>66</v>
      </c>
      <c r="AW327" s="8">
        <v>0</v>
      </c>
    </row>
    <row r="328" spans="1:49" x14ac:dyDescent="0.25">
      <c r="A328" t="s">
        <v>1130</v>
      </c>
      <c r="C328" t="s">
        <v>1051</v>
      </c>
      <c r="D328" t="s">
        <v>1033</v>
      </c>
      <c r="E328">
        <v>1</v>
      </c>
      <c r="F328">
        <v>15.69</v>
      </c>
      <c r="G328">
        <v>750</v>
      </c>
      <c r="J328" t="s">
        <v>264</v>
      </c>
      <c r="K328" s="8">
        <v>1</v>
      </c>
      <c r="L328" s="8">
        <v>1</v>
      </c>
      <c r="M328" t="str">
        <f t="shared" si="5"/>
        <v>Stratifie-H1369-Chene Casella brun-ST40</v>
      </c>
      <c r="N328" s="8">
        <v>1</v>
      </c>
      <c r="O328" s="8">
        <v>1</v>
      </c>
      <c r="P328" s="8">
        <v>0</v>
      </c>
      <c r="Q328" s="8" t="s">
        <v>1035</v>
      </c>
      <c r="R328" s="8" t="s">
        <v>62</v>
      </c>
      <c r="AB328" t="s">
        <v>265</v>
      </c>
      <c r="AD328" t="s">
        <v>266</v>
      </c>
      <c r="AE328" s="8">
        <v>1</v>
      </c>
      <c r="AF328" s="8">
        <v>0</v>
      </c>
      <c r="AG328" s="8" t="s">
        <v>65</v>
      </c>
      <c r="AH328" s="8">
        <v>1</v>
      </c>
      <c r="AI328" s="8">
        <v>1</v>
      </c>
      <c r="AJ328" s="8">
        <v>1</v>
      </c>
      <c r="AK328" s="8">
        <v>1</v>
      </c>
      <c r="AR328" s="8">
        <v>3050</v>
      </c>
      <c r="AS328" s="8">
        <v>1310</v>
      </c>
      <c r="AT328">
        <v>4766578</v>
      </c>
      <c r="AU328" s="8" t="s">
        <v>66</v>
      </c>
      <c r="AW328" s="8">
        <v>0</v>
      </c>
    </row>
    <row r="329" spans="1:49" x14ac:dyDescent="0.25">
      <c r="A329" t="s">
        <v>1131</v>
      </c>
      <c r="C329" t="s">
        <v>1051</v>
      </c>
      <c r="D329" t="s">
        <v>1033</v>
      </c>
      <c r="E329">
        <v>1</v>
      </c>
      <c r="F329">
        <v>14.65</v>
      </c>
      <c r="G329">
        <v>750</v>
      </c>
      <c r="J329" t="s">
        <v>268</v>
      </c>
      <c r="K329" s="8">
        <v>1</v>
      </c>
      <c r="L329" s="8">
        <v>1</v>
      </c>
      <c r="M329" t="str">
        <f t="shared" si="5"/>
        <v>Stratifie-H1377-Chene d'Orleans sable-ST36</v>
      </c>
      <c r="N329" s="8">
        <v>1</v>
      </c>
      <c r="O329" s="8">
        <v>1</v>
      </c>
      <c r="P329" s="8">
        <v>0</v>
      </c>
      <c r="Q329" s="8" t="s">
        <v>1035</v>
      </c>
      <c r="R329" s="8" t="s">
        <v>62</v>
      </c>
      <c r="AB329" t="s">
        <v>269</v>
      </c>
      <c r="AD329" t="s">
        <v>270</v>
      </c>
      <c r="AE329" s="8">
        <v>1</v>
      </c>
      <c r="AF329" s="8">
        <v>0</v>
      </c>
      <c r="AG329" s="8" t="s">
        <v>65</v>
      </c>
      <c r="AH329" s="8">
        <v>1</v>
      </c>
      <c r="AI329" s="8">
        <v>1</v>
      </c>
      <c r="AJ329" s="8">
        <v>1</v>
      </c>
      <c r="AK329" s="8">
        <v>1</v>
      </c>
      <c r="AR329" s="8">
        <v>3050</v>
      </c>
      <c r="AS329" s="8">
        <v>1310</v>
      </c>
      <c r="AT329">
        <v>7730665</v>
      </c>
      <c r="AU329" s="8" t="s">
        <v>66</v>
      </c>
      <c r="AW329" s="8">
        <v>0</v>
      </c>
    </row>
    <row r="330" spans="1:49" x14ac:dyDescent="0.25">
      <c r="A330" t="s">
        <v>1132</v>
      </c>
      <c r="C330" t="s">
        <v>1051</v>
      </c>
      <c r="D330" t="s">
        <v>1033</v>
      </c>
      <c r="E330">
        <v>1</v>
      </c>
      <c r="F330">
        <v>14.65</v>
      </c>
      <c r="G330">
        <v>750</v>
      </c>
      <c r="J330" t="s">
        <v>272</v>
      </c>
      <c r="K330" s="8">
        <v>1</v>
      </c>
      <c r="L330" s="8">
        <v>1</v>
      </c>
      <c r="M330" t="str">
        <f t="shared" si="5"/>
        <v>Stratifie-H1379-Chene d'Orleans taupe-ST36</v>
      </c>
      <c r="N330" s="8">
        <v>1</v>
      </c>
      <c r="O330" s="8">
        <v>1</v>
      </c>
      <c r="P330" s="8">
        <v>0</v>
      </c>
      <c r="Q330" s="8" t="s">
        <v>1035</v>
      </c>
      <c r="R330" s="8" t="s">
        <v>62</v>
      </c>
      <c r="AB330" t="s">
        <v>273</v>
      </c>
      <c r="AD330" t="s">
        <v>274</v>
      </c>
      <c r="AE330" s="8">
        <v>1</v>
      </c>
      <c r="AF330" s="8">
        <v>0</v>
      </c>
      <c r="AG330" s="8" t="s">
        <v>65</v>
      </c>
      <c r="AH330" s="8">
        <v>1</v>
      </c>
      <c r="AI330" s="8">
        <v>1</v>
      </c>
      <c r="AJ330" s="8">
        <v>1</v>
      </c>
      <c r="AK330" s="8">
        <v>1</v>
      </c>
      <c r="AR330" s="8">
        <v>3050</v>
      </c>
      <c r="AS330" s="8">
        <v>1310</v>
      </c>
      <c r="AT330">
        <v>7730666</v>
      </c>
      <c r="AU330" s="8" t="s">
        <v>66</v>
      </c>
      <c r="AW330" s="8">
        <v>0</v>
      </c>
    </row>
    <row r="331" spans="1:49" x14ac:dyDescent="0.25">
      <c r="A331" t="s">
        <v>1133</v>
      </c>
      <c r="C331" t="s">
        <v>1051</v>
      </c>
      <c r="D331" t="s">
        <v>1033</v>
      </c>
      <c r="E331">
        <v>1</v>
      </c>
      <c r="F331">
        <v>15.69</v>
      </c>
      <c r="G331">
        <v>750</v>
      </c>
      <c r="J331" t="s">
        <v>276</v>
      </c>
      <c r="K331" s="8">
        <v>1</v>
      </c>
      <c r="L331" s="8">
        <v>1</v>
      </c>
      <c r="M331" t="str">
        <f t="shared" si="5"/>
        <v>Stratifie-H1384-Chene Casella blanc-ST40</v>
      </c>
      <c r="N331" s="8">
        <v>1</v>
      </c>
      <c r="O331" s="8">
        <v>1</v>
      </c>
      <c r="P331" s="8">
        <v>0</v>
      </c>
      <c r="Q331" s="8" t="s">
        <v>1035</v>
      </c>
      <c r="R331" s="8" t="s">
        <v>62</v>
      </c>
      <c r="AB331" t="s">
        <v>277</v>
      </c>
      <c r="AD331" t="s">
        <v>278</v>
      </c>
      <c r="AE331" s="8">
        <v>1</v>
      </c>
      <c r="AF331" s="8">
        <v>0</v>
      </c>
      <c r="AG331" s="8" t="s">
        <v>65</v>
      </c>
      <c r="AH331" s="8">
        <v>1</v>
      </c>
      <c r="AI331" s="8">
        <v>1</v>
      </c>
      <c r="AJ331" s="8">
        <v>1</v>
      </c>
      <c r="AK331" s="8">
        <v>1</v>
      </c>
      <c r="AR331" s="8">
        <v>3050</v>
      </c>
      <c r="AS331" s="8">
        <v>1310</v>
      </c>
      <c r="AT331">
        <v>4766579</v>
      </c>
      <c r="AU331" s="8" t="s">
        <v>66</v>
      </c>
      <c r="AW331" s="8">
        <v>0</v>
      </c>
    </row>
    <row r="332" spans="1:49" x14ac:dyDescent="0.25">
      <c r="A332" t="s">
        <v>1134</v>
      </c>
      <c r="C332" t="s">
        <v>1051</v>
      </c>
      <c r="D332" t="s">
        <v>1033</v>
      </c>
      <c r="E332">
        <v>1</v>
      </c>
      <c r="F332">
        <v>15.69</v>
      </c>
      <c r="G332">
        <v>750</v>
      </c>
      <c r="J332" t="s">
        <v>280</v>
      </c>
      <c r="K332" s="8">
        <v>1</v>
      </c>
      <c r="L332" s="8">
        <v>1</v>
      </c>
      <c r="M332" t="str">
        <f t="shared" si="5"/>
        <v>Stratifie-H1385-Chene Casella naturel-ST40</v>
      </c>
      <c r="N332" s="8">
        <v>1</v>
      </c>
      <c r="O332" s="8">
        <v>1</v>
      </c>
      <c r="P332" s="8">
        <v>0</v>
      </c>
      <c r="Q332" s="8" t="s">
        <v>1035</v>
      </c>
      <c r="R332" s="8" t="s">
        <v>62</v>
      </c>
      <c r="AB332" t="s">
        <v>281</v>
      </c>
      <c r="AD332" t="s">
        <v>282</v>
      </c>
      <c r="AE332" s="8">
        <v>1</v>
      </c>
      <c r="AF332" s="8">
        <v>0</v>
      </c>
      <c r="AG332" s="8" t="s">
        <v>65</v>
      </c>
      <c r="AH332" s="8">
        <v>1</v>
      </c>
      <c r="AI332" s="8">
        <v>1</v>
      </c>
      <c r="AJ332" s="8">
        <v>1</v>
      </c>
      <c r="AK332" s="8">
        <v>1</v>
      </c>
      <c r="AR332" s="8">
        <v>3050</v>
      </c>
      <c r="AS332" s="8">
        <v>1310</v>
      </c>
      <c r="AT332">
        <v>4766580</v>
      </c>
      <c r="AU332" s="8" t="s">
        <v>66</v>
      </c>
      <c r="AW332" s="8">
        <v>0</v>
      </c>
    </row>
    <row r="333" spans="1:49" x14ac:dyDescent="0.25">
      <c r="A333" t="s">
        <v>1135</v>
      </c>
      <c r="C333" t="s">
        <v>1051</v>
      </c>
      <c r="D333" t="s">
        <v>1033</v>
      </c>
      <c r="E333">
        <v>1</v>
      </c>
      <c r="F333">
        <v>15.69</v>
      </c>
      <c r="G333">
        <v>750</v>
      </c>
      <c r="J333" t="s">
        <v>284</v>
      </c>
      <c r="K333" s="8">
        <v>1</v>
      </c>
      <c r="L333" s="8">
        <v>1</v>
      </c>
      <c r="M333" t="str">
        <f t="shared" si="5"/>
        <v>Stratifie-H1386-Chene Casella marron-ST40</v>
      </c>
      <c r="N333" s="8">
        <v>1</v>
      </c>
      <c r="O333" s="8">
        <v>1</v>
      </c>
      <c r="P333" s="8">
        <v>0</v>
      </c>
      <c r="Q333" s="8" t="s">
        <v>1035</v>
      </c>
      <c r="R333" s="8" t="s">
        <v>62</v>
      </c>
      <c r="AB333" t="s">
        <v>285</v>
      </c>
      <c r="AD333" t="s">
        <v>286</v>
      </c>
      <c r="AE333" s="8">
        <v>1</v>
      </c>
      <c r="AF333" s="8">
        <v>0</v>
      </c>
      <c r="AG333" s="8" t="s">
        <v>65</v>
      </c>
      <c r="AH333" s="8">
        <v>1</v>
      </c>
      <c r="AI333" s="8">
        <v>1</v>
      </c>
      <c r="AJ333" s="8">
        <v>1</v>
      </c>
      <c r="AK333" s="8">
        <v>1</v>
      </c>
      <c r="AR333" s="8">
        <v>3050</v>
      </c>
      <c r="AS333" s="8">
        <v>1310</v>
      </c>
      <c r="AT333">
        <v>4766581</v>
      </c>
      <c r="AU333" s="8" t="s">
        <v>66</v>
      </c>
      <c r="AW333" s="8">
        <v>0</v>
      </c>
    </row>
    <row r="334" spans="1:49" x14ac:dyDescent="0.25">
      <c r="A334" t="s">
        <v>1136</v>
      </c>
      <c r="C334" t="s">
        <v>1051</v>
      </c>
      <c r="D334" t="s">
        <v>1033</v>
      </c>
      <c r="E334">
        <v>1</v>
      </c>
      <c r="F334">
        <v>13.6</v>
      </c>
      <c r="G334">
        <v>750</v>
      </c>
      <c r="J334" t="s">
        <v>288</v>
      </c>
      <c r="K334" s="8">
        <v>1</v>
      </c>
      <c r="L334" s="8">
        <v>1</v>
      </c>
      <c r="M334" t="str">
        <f t="shared" si="5"/>
        <v>Stratifie-H1399-Chene Denver chamois-ST10</v>
      </c>
      <c r="N334" s="8">
        <v>1</v>
      </c>
      <c r="O334" s="8">
        <v>1</v>
      </c>
      <c r="P334" s="8">
        <v>0</v>
      </c>
      <c r="Q334" s="8" t="s">
        <v>1035</v>
      </c>
      <c r="R334" s="8" t="s">
        <v>62</v>
      </c>
      <c r="AB334" t="s">
        <v>289</v>
      </c>
      <c r="AD334" t="s">
        <v>290</v>
      </c>
      <c r="AE334" s="8">
        <v>1</v>
      </c>
      <c r="AF334" s="8">
        <v>0</v>
      </c>
      <c r="AG334" s="8" t="s">
        <v>65</v>
      </c>
      <c r="AH334" s="8">
        <v>1</v>
      </c>
      <c r="AI334" s="8">
        <v>1</v>
      </c>
      <c r="AJ334" s="8">
        <v>1</v>
      </c>
      <c r="AK334" s="8">
        <v>1</v>
      </c>
      <c r="AR334" s="8">
        <v>3050</v>
      </c>
      <c r="AS334" s="8">
        <v>1310</v>
      </c>
      <c r="AT334">
        <v>7730668</v>
      </c>
      <c r="AU334" s="8" t="s">
        <v>66</v>
      </c>
      <c r="AW334" s="8">
        <v>0</v>
      </c>
    </row>
    <row r="335" spans="1:49" x14ac:dyDescent="0.25">
      <c r="A335" t="s">
        <v>1137</v>
      </c>
      <c r="C335" t="s">
        <v>1051</v>
      </c>
      <c r="D335" t="s">
        <v>1033</v>
      </c>
      <c r="E335">
        <v>1</v>
      </c>
      <c r="F335">
        <v>13.6</v>
      </c>
      <c r="G335">
        <v>750</v>
      </c>
      <c r="J335" t="s">
        <v>292</v>
      </c>
      <c r="K335" s="8">
        <v>1</v>
      </c>
      <c r="L335" s="8">
        <v>1</v>
      </c>
      <c r="M335" t="str">
        <f t="shared" si="5"/>
        <v>Stratifie-H1401-Pin Cascina-ST22</v>
      </c>
      <c r="N335" s="8">
        <v>1</v>
      </c>
      <c r="O335" s="8">
        <v>1</v>
      </c>
      <c r="P335" s="8">
        <v>0</v>
      </c>
      <c r="Q335" s="8" t="s">
        <v>1035</v>
      </c>
      <c r="R335" s="8" t="s">
        <v>62</v>
      </c>
      <c r="AB335" t="s">
        <v>293</v>
      </c>
      <c r="AD335" t="s">
        <v>294</v>
      </c>
      <c r="AE335" s="8">
        <v>1</v>
      </c>
      <c r="AF335" s="8">
        <v>0</v>
      </c>
      <c r="AG335" s="8" t="s">
        <v>65</v>
      </c>
      <c r="AH335" s="8">
        <v>1</v>
      </c>
      <c r="AI335" s="8">
        <v>1</v>
      </c>
      <c r="AJ335" s="8">
        <v>1</v>
      </c>
      <c r="AK335" s="8">
        <v>1</v>
      </c>
      <c r="AR335" s="8">
        <v>3050</v>
      </c>
      <c r="AS335" s="8">
        <v>1310</v>
      </c>
      <c r="AT335">
        <v>7730670</v>
      </c>
      <c r="AU335" s="8" t="s">
        <v>66</v>
      </c>
      <c r="AW335" s="8">
        <v>0</v>
      </c>
    </row>
    <row r="336" spans="1:49" x14ac:dyDescent="0.25">
      <c r="A336" t="s">
        <v>1138</v>
      </c>
      <c r="C336" t="s">
        <v>1051</v>
      </c>
      <c r="D336" t="s">
        <v>1033</v>
      </c>
      <c r="E336">
        <v>1</v>
      </c>
      <c r="F336">
        <v>13.6</v>
      </c>
      <c r="G336">
        <v>750</v>
      </c>
      <c r="J336" t="s">
        <v>296</v>
      </c>
      <c r="K336" s="8">
        <v>1</v>
      </c>
      <c r="L336" s="8">
        <v>1</v>
      </c>
      <c r="M336" t="str">
        <f t="shared" si="5"/>
        <v>Stratifie-H1487-Epicea de Bramberg-ST22</v>
      </c>
      <c r="N336" s="8">
        <v>1</v>
      </c>
      <c r="O336" s="8">
        <v>1</v>
      </c>
      <c r="P336" s="8">
        <v>0</v>
      </c>
      <c r="Q336" s="8" t="s">
        <v>1035</v>
      </c>
      <c r="R336" s="8" t="s">
        <v>62</v>
      </c>
      <c r="AB336" t="s">
        <v>297</v>
      </c>
      <c r="AD336" t="s">
        <v>298</v>
      </c>
      <c r="AE336" s="8">
        <v>1</v>
      </c>
      <c r="AF336" s="8">
        <v>0</v>
      </c>
      <c r="AG336" s="8" t="s">
        <v>65</v>
      </c>
      <c r="AH336" s="8">
        <v>1</v>
      </c>
      <c r="AI336" s="8">
        <v>1</v>
      </c>
      <c r="AJ336" s="8">
        <v>1</v>
      </c>
      <c r="AK336" s="8">
        <v>1</v>
      </c>
      <c r="AR336" s="8">
        <v>3050</v>
      </c>
      <c r="AS336" s="8">
        <v>1310</v>
      </c>
      <c r="AT336">
        <v>7730673</v>
      </c>
      <c r="AU336" s="8" t="s">
        <v>66</v>
      </c>
      <c r="AW336" s="8">
        <v>0</v>
      </c>
    </row>
    <row r="337" spans="1:49" x14ac:dyDescent="0.25">
      <c r="A337" t="s">
        <v>1139</v>
      </c>
      <c r="C337" t="s">
        <v>1051</v>
      </c>
      <c r="D337" t="s">
        <v>1033</v>
      </c>
      <c r="E337">
        <v>1</v>
      </c>
      <c r="F337">
        <v>13.6</v>
      </c>
      <c r="G337">
        <v>750</v>
      </c>
      <c r="J337" t="s">
        <v>300</v>
      </c>
      <c r="K337" s="8">
        <v>1</v>
      </c>
      <c r="L337" s="8">
        <v>1</v>
      </c>
      <c r="M337" t="str">
        <f t="shared" si="5"/>
        <v>Stratifie-H1636-Cerisier Locarno-ST12</v>
      </c>
      <c r="N337" s="8">
        <v>1</v>
      </c>
      <c r="O337" s="8">
        <v>1</v>
      </c>
      <c r="P337" s="8">
        <v>0</v>
      </c>
      <c r="Q337" s="8" t="s">
        <v>1035</v>
      </c>
      <c r="R337" s="8" t="s">
        <v>62</v>
      </c>
      <c r="AB337" t="s">
        <v>301</v>
      </c>
      <c r="AD337" t="s">
        <v>302</v>
      </c>
      <c r="AE337" s="8">
        <v>1</v>
      </c>
      <c r="AF337" s="8">
        <v>0</v>
      </c>
      <c r="AG337" s="8" t="s">
        <v>65</v>
      </c>
      <c r="AH337" s="8">
        <v>1</v>
      </c>
      <c r="AI337" s="8">
        <v>1</v>
      </c>
      <c r="AJ337" s="8">
        <v>1</v>
      </c>
      <c r="AK337" s="8">
        <v>1</v>
      </c>
      <c r="AR337" s="8">
        <v>3050</v>
      </c>
      <c r="AS337" s="8">
        <v>1310</v>
      </c>
      <c r="AT337">
        <v>7730677</v>
      </c>
      <c r="AU337" s="8" t="s">
        <v>66</v>
      </c>
      <c r="AW337" s="8">
        <v>0</v>
      </c>
    </row>
    <row r="338" spans="1:49" x14ac:dyDescent="0.25">
      <c r="A338" t="s">
        <v>1140</v>
      </c>
      <c r="C338" t="s">
        <v>1051</v>
      </c>
      <c r="D338" t="s">
        <v>1033</v>
      </c>
      <c r="E338">
        <v>1</v>
      </c>
      <c r="F338">
        <v>13.6</v>
      </c>
      <c r="G338">
        <v>750</v>
      </c>
      <c r="J338" t="s">
        <v>304</v>
      </c>
      <c r="K338" s="8">
        <v>1</v>
      </c>
      <c r="L338" s="8">
        <v>1</v>
      </c>
      <c r="M338" t="str">
        <f t="shared" si="5"/>
        <v>Stratifie-H1710-Chataignier du Kentucky sable-ST10</v>
      </c>
      <c r="N338" s="8">
        <v>1</v>
      </c>
      <c r="O338" s="8">
        <v>1</v>
      </c>
      <c r="P338" s="8">
        <v>0</v>
      </c>
      <c r="Q338" s="8" t="s">
        <v>1035</v>
      </c>
      <c r="R338" s="8" t="s">
        <v>62</v>
      </c>
      <c r="AB338" t="s">
        <v>305</v>
      </c>
      <c r="AD338" t="s">
        <v>306</v>
      </c>
      <c r="AE338" s="8">
        <v>1</v>
      </c>
      <c r="AF338" s="8">
        <v>0</v>
      </c>
      <c r="AG338" s="8" t="s">
        <v>65</v>
      </c>
      <c r="AH338" s="8">
        <v>1</v>
      </c>
      <c r="AI338" s="8">
        <v>1</v>
      </c>
      <c r="AJ338" s="8">
        <v>1</v>
      </c>
      <c r="AK338" s="8">
        <v>1</v>
      </c>
      <c r="AR338" s="8">
        <v>3050</v>
      </c>
      <c r="AS338" s="8">
        <v>1310</v>
      </c>
      <c r="AT338">
        <v>7795214</v>
      </c>
      <c r="AU338" s="8" t="s">
        <v>66</v>
      </c>
      <c r="AW338" s="8">
        <v>0</v>
      </c>
    </row>
    <row r="339" spans="1:49" x14ac:dyDescent="0.25">
      <c r="A339" t="s">
        <v>1141</v>
      </c>
      <c r="C339" t="s">
        <v>1051</v>
      </c>
      <c r="D339" t="s">
        <v>1033</v>
      </c>
      <c r="E339">
        <v>1</v>
      </c>
      <c r="F339">
        <v>13.6</v>
      </c>
      <c r="G339">
        <v>750</v>
      </c>
      <c r="J339" t="s">
        <v>308</v>
      </c>
      <c r="K339" s="8">
        <v>1</v>
      </c>
      <c r="L339" s="8">
        <v>1</v>
      </c>
      <c r="M339" t="str">
        <f t="shared" si="5"/>
        <v>Stratifie-H1714-Noyer Lincoln-ST19</v>
      </c>
      <c r="N339" s="8">
        <v>1</v>
      </c>
      <c r="O339" s="8">
        <v>1</v>
      </c>
      <c r="P339" s="8">
        <v>0</v>
      </c>
      <c r="Q339" s="8" t="s">
        <v>1035</v>
      </c>
      <c r="R339" s="8" t="s">
        <v>62</v>
      </c>
      <c r="AB339" t="s">
        <v>309</v>
      </c>
      <c r="AD339" t="s">
        <v>310</v>
      </c>
      <c r="AE339" s="8">
        <v>1</v>
      </c>
      <c r="AF339" s="8">
        <v>0</v>
      </c>
      <c r="AG339" s="8" t="s">
        <v>65</v>
      </c>
      <c r="AH339" s="8">
        <v>1</v>
      </c>
      <c r="AI339" s="8">
        <v>1</v>
      </c>
      <c r="AJ339" s="8">
        <v>1</v>
      </c>
      <c r="AK339" s="8">
        <v>1</v>
      </c>
      <c r="AR339" s="8">
        <v>3050</v>
      </c>
      <c r="AS339" s="8">
        <v>1310</v>
      </c>
      <c r="AT339">
        <v>7795215</v>
      </c>
      <c r="AU339" s="8" t="s">
        <v>66</v>
      </c>
      <c r="AW339" s="8">
        <v>0</v>
      </c>
    </row>
    <row r="340" spans="1:49" x14ac:dyDescent="0.25">
      <c r="A340" t="s">
        <v>1142</v>
      </c>
      <c r="C340" t="s">
        <v>1051</v>
      </c>
      <c r="D340" t="s">
        <v>1033</v>
      </c>
      <c r="E340">
        <v>1</v>
      </c>
      <c r="F340">
        <v>13.6</v>
      </c>
      <c r="G340">
        <v>750</v>
      </c>
      <c r="J340" t="s">
        <v>312</v>
      </c>
      <c r="K340" s="8">
        <v>1</v>
      </c>
      <c r="L340" s="8">
        <v>1</v>
      </c>
      <c r="M340" t="str">
        <f t="shared" si="5"/>
        <v>Stratifie-H1715-Noyer Parona-ST12</v>
      </c>
      <c r="N340" s="8">
        <v>1</v>
      </c>
      <c r="O340" s="8">
        <v>1</v>
      </c>
      <c r="P340" s="8">
        <v>0</v>
      </c>
      <c r="Q340" s="8" t="s">
        <v>1035</v>
      </c>
      <c r="R340" s="8" t="s">
        <v>62</v>
      </c>
      <c r="AB340" t="s">
        <v>313</v>
      </c>
      <c r="AD340" t="s">
        <v>314</v>
      </c>
      <c r="AE340" s="8">
        <v>1</v>
      </c>
      <c r="AF340" s="8">
        <v>0</v>
      </c>
      <c r="AG340" s="8" t="s">
        <v>65</v>
      </c>
      <c r="AH340" s="8">
        <v>1</v>
      </c>
      <c r="AI340" s="8">
        <v>1</v>
      </c>
      <c r="AJ340" s="8">
        <v>1</v>
      </c>
      <c r="AK340" s="8">
        <v>1</v>
      </c>
      <c r="AR340" s="8">
        <v>3050</v>
      </c>
      <c r="AS340" s="8">
        <v>1310</v>
      </c>
      <c r="AT340">
        <v>4766534</v>
      </c>
      <c r="AU340" s="8" t="s">
        <v>66</v>
      </c>
      <c r="AW340" s="8">
        <v>0</v>
      </c>
    </row>
    <row r="341" spans="1:49" x14ac:dyDescent="0.25">
      <c r="A341" t="s">
        <v>1143</v>
      </c>
      <c r="C341" t="s">
        <v>1051</v>
      </c>
      <c r="D341" t="s">
        <v>1033</v>
      </c>
      <c r="E341">
        <v>1</v>
      </c>
      <c r="F341">
        <v>12.27</v>
      </c>
      <c r="G341">
        <v>750</v>
      </c>
      <c r="J341" t="s">
        <v>316</v>
      </c>
      <c r="K341" s="8">
        <v>1</v>
      </c>
      <c r="L341" s="8">
        <v>1</v>
      </c>
      <c r="M341" t="str">
        <f t="shared" si="5"/>
        <v>Stratifie-H1732-Bouleau sable-ST9</v>
      </c>
      <c r="N341" s="8">
        <v>1</v>
      </c>
      <c r="O341" s="8">
        <v>1</v>
      </c>
      <c r="P341" s="8">
        <v>0</v>
      </c>
      <c r="Q341" s="8" t="s">
        <v>1035</v>
      </c>
      <c r="R341" s="8" t="s">
        <v>62</v>
      </c>
      <c r="AB341" t="s">
        <v>317</v>
      </c>
      <c r="AD341" t="s">
        <v>318</v>
      </c>
      <c r="AE341" s="8">
        <v>1</v>
      </c>
      <c r="AF341" s="8">
        <v>0</v>
      </c>
      <c r="AG341" s="8" t="s">
        <v>65</v>
      </c>
      <c r="AH341" s="8">
        <v>1</v>
      </c>
      <c r="AI341" s="8">
        <v>1</v>
      </c>
      <c r="AJ341" s="8">
        <v>1</v>
      </c>
      <c r="AK341" s="8">
        <v>1</v>
      </c>
      <c r="AR341" s="8">
        <v>3050</v>
      </c>
      <c r="AS341" s="8">
        <v>1310</v>
      </c>
      <c r="AT341">
        <v>4766535</v>
      </c>
      <c r="AU341" s="8" t="s">
        <v>66</v>
      </c>
      <c r="AW341" s="8">
        <v>0</v>
      </c>
    </row>
    <row r="342" spans="1:49" x14ac:dyDescent="0.25">
      <c r="A342" t="s">
        <v>1144</v>
      </c>
      <c r="C342" t="s">
        <v>1051</v>
      </c>
      <c r="D342" t="s">
        <v>1033</v>
      </c>
      <c r="E342">
        <v>1</v>
      </c>
      <c r="F342">
        <v>12.27</v>
      </c>
      <c r="G342">
        <v>750</v>
      </c>
      <c r="J342" t="s">
        <v>320</v>
      </c>
      <c r="K342" s="8">
        <v>1</v>
      </c>
      <c r="L342" s="8">
        <v>1</v>
      </c>
      <c r="M342" t="str">
        <f t="shared" si="5"/>
        <v>Stratifie-H1910-Hetre Willow-ST9</v>
      </c>
      <c r="N342" s="8">
        <v>1</v>
      </c>
      <c r="O342" s="8">
        <v>1</v>
      </c>
      <c r="P342" s="8">
        <v>0</v>
      </c>
      <c r="Q342" s="8" t="s">
        <v>1035</v>
      </c>
      <c r="R342" s="8" t="s">
        <v>62</v>
      </c>
      <c r="AB342" t="s">
        <v>321</v>
      </c>
      <c r="AD342" t="s">
        <v>322</v>
      </c>
      <c r="AE342" s="8">
        <v>1</v>
      </c>
      <c r="AF342" s="8">
        <v>0</v>
      </c>
      <c r="AG342" s="8" t="s">
        <v>65</v>
      </c>
      <c r="AH342" s="8">
        <v>1</v>
      </c>
      <c r="AI342" s="8">
        <v>1</v>
      </c>
      <c r="AJ342" s="8">
        <v>1</v>
      </c>
      <c r="AK342" s="8">
        <v>1</v>
      </c>
      <c r="AR342" s="8">
        <v>3050</v>
      </c>
      <c r="AS342" s="8">
        <v>1310</v>
      </c>
      <c r="AT342">
        <v>4766536</v>
      </c>
      <c r="AU342" s="8" t="s">
        <v>66</v>
      </c>
      <c r="AW342" s="8">
        <v>0</v>
      </c>
    </row>
    <row r="343" spans="1:49" x14ac:dyDescent="0.25">
      <c r="A343" t="s">
        <v>1145</v>
      </c>
      <c r="C343" t="s">
        <v>1051</v>
      </c>
      <c r="D343" t="s">
        <v>1033</v>
      </c>
      <c r="E343">
        <v>1</v>
      </c>
      <c r="F343">
        <v>13.6</v>
      </c>
      <c r="G343">
        <v>750</v>
      </c>
      <c r="J343" t="s">
        <v>324</v>
      </c>
      <c r="K343" s="8">
        <v>1</v>
      </c>
      <c r="L343" s="8">
        <v>1</v>
      </c>
      <c r="M343" t="str">
        <f t="shared" si="5"/>
        <v>Stratifie-H2033-Chene de Hunton fonce-ST10</v>
      </c>
      <c r="N343" s="8">
        <v>1</v>
      </c>
      <c r="O343" s="8">
        <v>1</v>
      </c>
      <c r="P343" s="8">
        <v>0</v>
      </c>
      <c r="Q343" s="8" t="s">
        <v>1035</v>
      </c>
      <c r="R343" s="8" t="s">
        <v>62</v>
      </c>
      <c r="AB343" t="s">
        <v>325</v>
      </c>
      <c r="AD343" t="s">
        <v>326</v>
      </c>
      <c r="AE343" s="8">
        <v>1</v>
      </c>
      <c r="AF343" s="8">
        <v>0</v>
      </c>
      <c r="AG343" s="8" t="s">
        <v>65</v>
      </c>
      <c r="AH343" s="8">
        <v>1</v>
      </c>
      <c r="AI343" s="8">
        <v>1</v>
      </c>
      <c r="AJ343" s="8">
        <v>1</v>
      </c>
      <c r="AK343" s="8">
        <v>1</v>
      </c>
      <c r="AR343" s="8">
        <v>3050</v>
      </c>
      <c r="AS343" s="8">
        <v>1310</v>
      </c>
      <c r="AT343">
        <v>7795216</v>
      </c>
      <c r="AU343" s="8" t="s">
        <v>66</v>
      </c>
      <c r="AW343" s="8">
        <v>0</v>
      </c>
    </row>
    <row r="344" spans="1:49" x14ac:dyDescent="0.25">
      <c r="A344" t="s">
        <v>1146</v>
      </c>
      <c r="C344" t="s">
        <v>1051</v>
      </c>
      <c r="D344" t="s">
        <v>1033</v>
      </c>
      <c r="E344">
        <v>1</v>
      </c>
      <c r="F344">
        <v>13.6</v>
      </c>
      <c r="G344">
        <v>750</v>
      </c>
      <c r="J344" t="s">
        <v>328</v>
      </c>
      <c r="K344" s="8">
        <v>1</v>
      </c>
      <c r="L344" s="8">
        <v>1</v>
      </c>
      <c r="M344" t="str">
        <f t="shared" si="5"/>
        <v>Stratifie-H3003-Chene Norwich-ST19</v>
      </c>
      <c r="N344" s="8">
        <v>1</v>
      </c>
      <c r="O344" s="8">
        <v>1</v>
      </c>
      <c r="P344" s="8">
        <v>0</v>
      </c>
      <c r="Q344" s="8" t="s">
        <v>1035</v>
      </c>
      <c r="R344" s="8" t="s">
        <v>62</v>
      </c>
      <c r="AB344" t="s">
        <v>329</v>
      </c>
      <c r="AD344" t="s">
        <v>330</v>
      </c>
      <c r="AE344" s="8">
        <v>1</v>
      </c>
      <c r="AF344" s="8">
        <v>0</v>
      </c>
      <c r="AG344" s="8" t="s">
        <v>65</v>
      </c>
      <c r="AH344" s="8">
        <v>1</v>
      </c>
      <c r="AI344" s="8">
        <v>1</v>
      </c>
      <c r="AJ344" s="8">
        <v>1</v>
      </c>
      <c r="AK344" s="8">
        <v>1</v>
      </c>
      <c r="AR344" s="8">
        <v>3050</v>
      </c>
      <c r="AS344" s="8">
        <v>1310</v>
      </c>
      <c r="AT344">
        <v>4766537</v>
      </c>
      <c r="AU344" s="8" t="s">
        <v>66</v>
      </c>
      <c r="AW344" s="8">
        <v>0</v>
      </c>
    </row>
    <row r="345" spans="1:49" x14ac:dyDescent="0.25">
      <c r="A345" t="s">
        <v>1147</v>
      </c>
      <c r="C345" t="s">
        <v>1051</v>
      </c>
      <c r="D345" t="s">
        <v>1033</v>
      </c>
      <c r="E345">
        <v>1</v>
      </c>
      <c r="F345">
        <v>13.6</v>
      </c>
      <c r="G345">
        <v>750</v>
      </c>
      <c r="J345" t="s">
        <v>332</v>
      </c>
      <c r="K345" s="8">
        <v>1</v>
      </c>
      <c r="L345" s="8">
        <v>1</v>
      </c>
      <c r="M345" t="str">
        <f t="shared" si="5"/>
        <v>Stratifie-H3012-Coco bolo-ST22</v>
      </c>
      <c r="N345" s="8">
        <v>1</v>
      </c>
      <c r="O345" s="8">
        <v>1</v>
      </c>
      <c r="P345" s="8">
        <v>0</v>
      </c>
      <c r="Q345" s="8" t="s">
        <v>1035</v>
      </c>
      <c r="R345" s="8" t="s">
        <v>62</v>
      </c>
      <c r="AB345" t="s">
        <v>333</v>
      </c>
      <c r="AD345" t="s">
        <v>334</v>
      </c>
      <c r="AE345" s="8">
        <v>1</v>
      </c>
      <c r="AF345" s="8">
        <v>0</v>
      </c>
      <c r="AG345" s="8" t="s">
        <v>65</v>
      </c>
      <c r="AH345" s="8">
        <v>1</v>
      </c>
      <c r="AI345" s="8">
        <v>1</v>
      </c>
      <c r="AJ345" s="8">
        <v>1</v>
      </c>
      <c r="AK345" s="8">
        <v>1</v>
      </c>
      <c r="AR345" s="8">
        <v>3050</v>
      </c>
      <c r="AS345" s="8">
        <v>1310</v>
      </c>
      <c r="AT345">
        <v>7730679</v>
      </c>
      <c r="AU345" s="8" t="s">
        <v>66</v>
      </c>
      <c r="AW345" s="8">
        <v>0</v>
      </c>
    </row>
    <row r="346" spans="1:49" x14ac:dyDescent="0.25">
      <c r="A346" t="s">
        <v>1148</v>
      </c>
      <c r="C346" t="s">
        <v>1051</v>
      </c>
      <c r="D346" t="s">
        <v>1033</v>
      </c>
      <c r="E346">
        <v>1</v>
      </c>
      <c r="F346">
        <v>12.27</v>
      </c>
      <c r="G346">
        <v>750</v>
      </c>
      <c r="J346" t="s">
        <v>336</v>
      </c>
      <c r="K346" s="8">
        <v>1</v>
      </c>
      <c r="L346" s="8">
        <v>1</v>
      </c>
      <c r="M346" t="str">
        <f t="shared" si="5"/>
        <v>Stratifie-H3043-Eucalyptus brun fonce-ST12</v>
      </c>
      <c r="N346" s="8">
        <v>1</v>
      </c>
      <c r="O346" s="8">
        <v>1</v>
      </c>
      <c r="P346" s="8">
        <v>0</v>
      </c>
      <c r="Q346" s="8" t="s">
        <v>1035</v>
      </c>
      <c r="R346" s="8" t="s">
        <v>62</v>
      </c>
      <c r="AB346" t="s">
        <v>337</v>
      </c>
      <c r="AD346" t="s">
        <v>338</v>
      </c>
      <c r="AE346" s="8">
        <v>1</v>
      </c>
      <c r="AF346" s="8">
        <v>0</v>
      </c>
      <c r="AG346" s="8" t="s">
        <v>65</v>
      </c>
      <c r="AH346" s="8">
        <v>1</v>
      </c>
      <c r="AI346" s="8">
        <v>1</v>
      </c>
      <c r="AJ346" s="8">
        <v>1</v>
      </c>
      <c r="AK346" s="8">
        <v>1</v>
      </c>
      <c r="AR346" s="8">
        <v>3050</v>
      </c>
      <c r="AS346" s="8">
        <v>1310</v>
      </c>
      <c r="AT346">
        <v>4766538</v>
      </c>
      <c r="AU346" s="8" t="s">
        <v>66</v>
      </c>
      <c r="AW346" s="8">
        <v>0</v>
      </c>
    </row>
    <row r="347" spans="1:49" x14ac:dyDescent="0.25">
      <c r="A347" t="s">
        <v>1149</v>
      </c>
      <c r="C347" t="s">
        <v>1051</v>
      </c>
      <c r="D347" t="s">
        <v>1033</v>
      </c>
      <c r="E347">
        <v>1</v>
      </c>
      <c r="F347">
        <v>13.6</v>
      </c>
      <c r="G347">
        <v>750</v>
      </c>
      <c r="J347" t="s">
        <v>340</v>
      </c>
      <c r="K347" s="8">
        <v>1</v>
      </c>
      <c r="L347" s="8">
        <v>1</v>
      </c>
      <c r="M347" t="str">
        <f t="shared" si="5"/>
        <v>Stratifie-H305-Chene Tonsberg naturel-ST12</v>
      </c>
      <c r="N347" s="8">
        <v>1</v>
      </c>
      <c r="O347" s="8">
        <v>1</v>
      </c>
      <c r="P347" s="8">
        <v>0</v>
      </c>
      <c r="Q347" s="8" t="s">
        <v>1035</v>
      </c>
      <c r="R347" s="8" t="s">
        <v>62</v>
      </c>
      <c r="AB347" t="s">
        <v>341</v>
      </c>
      <c r="AD347" t="s">
        <v>342</v>
      </c>
      <c r="AE347" s="8">
        <v>1</v>
      </c>
      <c r="AF347" s="8">
        <v>0</v>
      </c>
      <c r="AG347" s="8" t="s">
        <v>65</v>
      </c>
      <c r="AH347" s="8">
        <v>1</v>
      </c>
      <c r="AI347" s="8">
        <v>1</v>
      </c>
      <c r="AJ347" s="8">
        <v>1</v>
      </c>
      <c r="AK347" s="8">
        <v>1</v>
      </c>
      <c r="AR347" s="8">
        <v>3050</v>
      </c>
      <c r="AS347" s="8">
        <v>1310</v>
      </c>
      <c r="AT347">
        <v>4766539</v>
      </c>
      <c r="AU347" s="8" t="s">
        <v>66</v>
      </c>
      <c r="AW347" s="8">
        <v>0</v>
      </c>
    </row>
    <row r="348" spans="1:49" x14ac:dyDescent="0.25">
      <c r="A348" t="s">
        <v>1150</v>
      </c>
      <c r="C348" t="s">
        <v>1051</v>
      </c>
      <c r="D348" t="s">
        <v>1033</v>
      </c>
      <c r="E348">
        <v>1</v>
      </c>
      <c r="F348">
        <v>13.6</v>
      </c>
      <c r="G348">
        <v>750</v>
      </c>
      <c r="J348" t="s">
        <v>344</v>
      </c>
      <c r="K348" s="8">
        <v>1</v>
      </c>
      <c r="L348" s="8">
        <v>1</v>
      </c>
      <c r="M348" t="str">
        <f t="shared" si="5"/>
        <v>Stratifie-H309-Chene Tonsberg marron fonce-ST12</v>
      </c>
      <c r="N348" s="8">
        <v>1</v>
      </c>
      <c r="O348" s="8">
        <v>1</v>
      </c>
      <c r="P348" s="8">
        <v>0</v>
      </c>
      <c r="Q348" s="8" t="s">
        <v>1035</v>
      </c>
      <c r="R348" s="8" t="s">
        <v>62</v>
      </c>
      <c r="AB348" t="s">
        <v>345</v>
      </c>
      <c r="AD348" t="s">
        <v>346</v>
      </c>
      <c r="AE348" s="8">
        <v>1</v>
      </c>
      <c r="AF348" s="8">
        <v>0</v>
      </c>
      <c r="AG348" s="8" t="s">
        <v>65</v>
      </c>
      <c r="AH348" s="8">
        <v>1</v>
      </c>
      <c r="AI348" s="8">
        <v>1</v>
      </c>
      <c r="AJ348" s="8">
        <v>1</v>
      </c>
      <c r="AK348" s="8">
        <v>1</v>
      </c>
      <c r="AR348" s="8">
        <v>3050</v>
      </c>
      <c r="AS348" s="8">
        <v>1310</v>
      </c>
      <c r="AT348">
        <v>4766540</v>
      </c>
      <c r="AU348" s="8" t="s">
        <v>66</v>
      </c>
      <c r="AW348" s="8">
        <v>0</v>
      </c>
    </row>
    <row r="349" spans="1:49" x14ac:dyDescent="0.25">
      <c r="A349" t="s">
        <v>1151</v>
      </c>
      <c r="C349" t="s">
        <v>1051</v>
      </c>
      <c r="D349" t="s">
        <v>1033</v>
      </c>
      <c r="E349">
        <v>1</v>
      </c>
      <c r="F349">
        <v>13.6</v>
      </c>
      <c r="G349">
        <v>750</v>
      </c>
      <c r="J349" t="s">
        <v>348</v>
      </c>
      <c r="K349" s="8">
        <v>1</v>
      </c>
      <c r="L349" s="8">
        <v>1</v>
      </c>
      <c r="M349" t="str">
        <f t="shared" si="5"/>
        <v>Stratifie-H3131-Chene Davos naturel-ST12</v>
      </c>
      <c r="N349" s="8">
        <v>1</v>
      </c>
      <c r="O349" s="8">
        <v>1</v>
      </c>
      <c r="P349" s="8">
        <v>0</v>
      </c>
      <c r="Q349" s="8" t="s">
        <v>1035</v>
      </c>
      <c r="R349" s="8" t="s">
        <v>62</v>
      </c>
      <c r="AB349" t="s">
        <v>349</v>
      </c>
      <c r="AD349" t="s">
        <v>350</v>
      </c>
      <c r="AE349" s="8">
        <v>1</v>
      </c>
      <c r="AF349" s="8">
        <v>0</v>
      </c>
      <c r="AG349" s="8" t="s">
        <v>65</v>
      </c>
      <c r="AH349" s="8">
        <v>1</v>
      </c>
      <c r="AI349" s="8">
        <v>1</v>
      </c>
      <c r="AJ349" s="8">
        <v>1</v>
      </c>
      <c r="AK349" s="8">
        <v>1</v>
      </c>
      <c r="AR349" s="8">
        <v>3050</v>
      </c>
      <c r="AS349" s="8">
        <v>1310</v>
      </c>
      <c r="AT349">
        <v>7730682</v>
      </c>
      <c r="AU349" s="8" t="s">
        <v>66</v>
      </c>
      <c r="AW349" s="8">
        <v>0</v>
      </c>
    </row>
    <row r="350" spans="1:49" x14ac:dyDescent="0.25">
      <c r="A350" t="s">
        <v>1152</v>
      </c>
      <c r="C350" t="s">
        <v>1051</v>
      </c>
      <c r="D350" t="s">
        <v>1033</v>
      </c>
      <c r="E350">
        <v>1</v>
      </c>
      <c r="F350">
        <v>13.6</v>
      </c>
      <c r="G350">
        <v>750</v>
      </c>
      <c r="J350" t="s">
        <v>352</v>
      </c>
      <c r="K350" s="8">
        <v>1</v>
      </c>
      <c r="L350" s="8">
        <v>1</v>
      </c>
      <c r="M350" t="str">
        <f t="shared" si="5"/>
        <v>Stratifie-H3133-Chene Davos chamois-ST12</v>
      </c>
      <c r="N350" s="8">
        <v>1</v>
      </c>
      <c r="O350" s="8">
        <v>1</v>
      </c>
      <c r="P350" s="8">
        <v>0</v>
      </c>
      <c r="Q350" s="8" t="s">
        <v>1035</v>
      </c>
      <c r="R350" s="8" t="s">
        <v>62</v>
      </c>
      <c r="AB350" t="s">
        <v>353</v>
      </c>
      <c r="AD350" t="s">
        <v>354</v>
      </c>
      <c r="AE350" s="8">
        <v>1</v>
      </c>
      <c r="AF350" s="8">
        <v>0</v>
      </c>
      <c r="AG350" s="8" t="s">
        <v>65</v>
      </c>
      <c r="AH350" s="8">
        <v>1</v>
      </c>
      <c r="AI350" s="8">
        <v>1</v>
      </c>
      <c r="AJ350" s="8">
        <v>1</v>
      </c>
      <c r="AK350" s="8">
        <v>1</v>
      </c>
      <c r="AR350" s="8">
        <v>3050</v>
      </c>
      <c r="AS350" s="8">
        <v>1310</v>
      </c>
      <c r="AT350">
        <v>7730683</v>
      </c>
      <c r="AU350" s="8" t="s">
        <v>66</v>
      </c>
      <c r="AW350" s="8">
        <v>0</v>
      </c>
    </row>
    <row r="351" spans="1:49" x14ac:dyDescent="0.25">
      <c r="A351" t="s">
        <v>1153</v>
      </c>
      <c r="C351" t="s">
        <v>1051</v>
      </c>
      <c r="D351" t="s">
        <v>1033</v>
      </c>
      <c r="E351">
        <v>1</v>
      </c>
      <c r="F351">
        <v>13.6</v>
      </c>
      <c r="G351">
        <v>750</v>
      </c>
      <c r="J351" t="s">
        <v>356</v>
      </c>
      <c r="K351" s="8">
        <v>1</v>
      </c>
      <c r="L351" s="8">
        <v>1</v>
      </c>
      <c r="M351" t="str">
        <f t="shared" si="5"/>
        <v>Stratifie-H3146-Chene Lorenzo sable-ST19</v>
      </c>
      <c r="N351" s="8">
        <v>1</v>
      </c>
      <c r="O351" s="8">
        <v>1</v>
      </c>
      <c r="P351" s="8">
        <v>0</v>
      </c>
      <c r="Q351" s="8" t="s">
        <v>1035</v>
      </c>
      <c r="R351" s="8" t="s">
        <v>62</v>
      </c>
      <c r="AB351" t="s">
        <v>357</v>
      </c>
      <c r="AD351" t="s">
        <v>358</v>
      </c>
      <c r="AE351" s="8">
        <v>1</v>
      </c>
      <c r="AF351" s="8">
        <v>0</v>
      </c>
      <c r="AG351" s="8" t="s">
        <v>65</v>
      </c>
      <c r="AH351" s="8">
        <v>1</v>
      </c>
      <c r="AI351" s="8">
        <v>1</v>
      </c>
      <c r="AJ351" s="8">
        <v>1</v>
      </c>
      <c r="AK351" s="8">
        <v>1</v>
      </c>
      <c r="AR351" s="8">
        <v>3050</v>
      </c>
      <c r="AS351" s="8">
        <v>1310</v>
      </c>
      <c r="AT351">
        <v>7795217</v>
      </c>
      <c r="AU351" s="8" t="s">
        <v>66</v>
      </c>
      <c r="AW351" s="8">
        <v>0</v>
      </c>
    </row>
    <row r="352" spans="1:49" x14ac:dyDescent="0.25">
      <c r="A352" t="s">
        <v>1154</v>
      </c>
      <c r="C352" t="s">
        <v>1051</v>
      </c>
      <c r="D352" t="s">
        <v>1033</v>
      </c>
      <c r="E352">
        <v>1</v>
      </c>
      <c r="F352">
        <v>13.6</v>
      </c>
      <c r="G352">
        <v>750</v>
      </c>
      <c r="J352" t="s">
        <v>360</v>
      </c>
      <c r="K352" s="8">
        <v>1</v>
      </c>
      <c r="L352" s="8">
        <v>1</v>
      </c>
      <c r="M352" t="str">
        <f t="shared" si="5"/>
        <v>Stratifie-H3152-Chene Vicenza blanchi-ST19</v>
      </c>
      <c r="N352" s="8">
        <v>1</v>
      </c>
      <c r="O352" s="8">
        <v>1</v>
      </c>
      <c r="P352" s="8">
        <v>0</v>
      </c>
      <c r="Q352" s="8" t="s">
        <v>1035</v>
      </c>
      <c r="R352" s="8" t="s">
        <v>62</v>
      </c>
      <c r="AB352" t="s">
        <v>361</v>
      </c>
      <c r="AD352" t="s">
        <v>362</v>
      </c>
      <c r="AE352" s="8">
        <v>1</v>
      </c>
      <c r="AF352" s="8">
        <v>0</v>
      </c>
      <c r="AG352" s="8" t="s">
        <v>65</v>
      </c>
      <c r="AH352" s="8">
        <v>1</v>
      </c>
      <c r="AI352" s="8">
        <v>1</v>
      </c>
      <c r="AJ352" s="8">
        <v>1</v>
      </c>
      <c r="AK352" s="8">
        <v>1</v>
      </c>
      <c r="AR352" s="8">
        <v>3050</v>
      </c>
      <c r="AS352" s="8">
        <v>1310</v>
      </c>
      <c r="AT352">
        <v>4766541</v>
      </c>
      <c r="AU352" s="8" t="s">
        <v>66</v>
      </c>
      <c r="AW352" s="8">
        <v>0</v>
      </c>
    </row>
    <row r="353" spans="1:49" x14ac:dyDescent="0.25">
      <c r="A353" t="s">
        <v>1155</v>
      </c>
      <c r="C353" t="s">
        <v>1051</v>
      </c>
      <c r="D353" t="s">
        <v>1033</v>
      </c>
      <c r="E353">
        <v>1</v>
      </c>
      <c r="F353">
        <v>14.65</v>
      </c>
      <c r="G353">
        <v>750</v>
      </c>
      <c r="J353" t="s">
        <v>364</v>
      </c>
      <c r="K353" s="8">
        <v>1</v>
      </c>
      <c r="L353" s="8">
        <v>1</v>
      </c>
      <c r="M353" t="str">
        <f t="shared" si="5"/>
        <v>Stratifie-H3154-Chene Charleston chatain fonce-ST36</v>
      </c>
      <c r="N353" s="8">
        <v>1</v>
      </c>
      <c r="O353" s="8">
        <v>1</v>
      </c>
      <c r="P353" s="8">
        <v>0</v>
      </c>
      <c r="Q353" s="8" t="s">
        <v>1035</v>
      </c>
      <c r="R353" s="8" t="s">
        <v>62</v>
      </c>
      <c r="AB353" t="s">
        <v>365</v>
      </c>
      <c r="AD353" t="s">
        <v>366</v>
      </c>
      <c r="AE353" s="8">
        <v>1</v>
      </c>
      <c r="AF353" s="8">
        <v>0</v>
      </c>
      <c r="AG353" s="8" t="s">
        <v>65</v>
      </c>
      <c r="AH353" s="8">
        <v>1</v>
      </c>
      <c r="AI353" s="8">
        <v>1</v>
      </c>
      <c r="AJ353" s="8">
        <v>1</v>
      </c>
      <c r="AK353" s="8">
        <v>1</v>
      </c>
      <c r="AR353" s="8">
        <v>3050</v>
      </c>
      <c r="AS353" s="8">
        <v>1310</v>
      </c>
      <c r="AT353">
        <v>7730684</v>
      </c>
      <c r="AU353" s="8" t="s">
        <v>66</v>
      </c>
      <c r="AW353" s="8">
        <v>0</v>
      </c>
    </row>
    <row r="354" spans="1:49" x14ac:dyDescent="0.25">
      <c r="A354" t="s">
        <v>1156</v>
      </c>
      <c r="C354" t="s">
        <v>1051</v>
      </c>
      <c r="D354" t="s">
        <v>1033</v>
      </c>
      <c r="E354">
        <v>1</v>
      </c>
      <c r="F354">
        <v>13.6</v>
      </c>
      <c r="G354">
        <v>750</v>
      </c>
      <c r="J354" t="s">
        <v>368</v>
      </c>
      <c r="K354" s="8">
        <v>1</v>
      </c>
      <c r="L354" s="8">
        <v>1</v>
      </c>
      <c r="M354" t="str">
        <f t="shared" si="5"/>
        <v>Stratifie-H3156-Chene Corbridge gris-ST12</v>
      </c>
      <c r="N354" s="8">
        <v>1</v>
      </c>
      <c r="O354" s="8">
        <v>1</v>
      </c>
      <c r="P354" s="8">
        <v>0</v>
      </c>
      <c r="Q354" s="8" t="s">
        <v>1035</v>
      </c>
      <c r="R354" s="8" t="s">
        <v>62</v>
      </c>
      <c r="AB354" t="s">
        <v>369</v>
      </c>
      <c r="AD354" t="s">
        <v>370</v>
      </c>
      <c r="AE354" s="8">
        <v>1</v>
      </c>
      <c r="AF354" s="8">
        <v>0</v>
      </c>
      <c r="AG354" s="8" t="s">
        <v>65</v>
      </c>
      <c r="AH354" s="8">
        <v>1</v>
      </c>
      <c r="AI354" s="8">
        <v>1</v>
      </c>
      <c r="AJ354" s="8">
        <v>1</v>
      </c>
      <c r="AK354" s="8">
        <v>1</v>
      </c>
      <c r="AR354" s="8">
        <v>3050</v>
      </c>
      <c r="AS354" s="8">
        <v>1310</v>
      </c>
      <c r="AT354">
        <v>7730685</v>
      </c>
      <c r="AU354" s="8" t="s">
        <v>66</v>
      </c>
      <c r="AW354" s="8">
        <v>0</v>
      </c>
    </row>
    <row r="355" spans="1:49" x14ac:dyDescent="0.25">
      <c r="A355" t="s">
        <v>1157</v>
      </c>
      <c r="C355" t="s">
        <v>1051</v>
      </c>
      <c r="D355" t="s">
        <v>1033</v>
      </c>
      <c r="E355">
        <v>1</v>
      </c>
      <c r="F355">
        <v>13.6</v>
      </c>
      <c r="G355">
        <v>750</v>
      </c>
      <c r="J355" t="s">
        <v>372</v>
      </c>
      <c r="K355" s="8">
        <v>1</v>
      </c>
      <c r="L355" s="8">
        <v>1</v>
      </c>
      <c r="M355" t="str">
        <f t="shared" si="5"/>
        <v>Stratifie-H3157-Chene Vicenza-ST12</v>
      </c>
      <c r="N355" s="8">
        <v>1</v>
      </c>
      <c r="O355" s="8">
        <v>1</v>
      </c>
      <c r="P355" s="8">
        <v>0</v>
      </c>
      <c r="Q355" s="8" t="s">
        <v>1035</v>
      </c>
      <c r="R355" s="8" t="s">
        <v>62</v>
      </c>
      <c r="AB355" t="s">
        <v>373</v>
      </c>
      <c r="AD355" t="s">
        <v>374</v>
      </c>
      <c r="AE355" s="8">
        <v>1</v>
      </c>
      <c r="AF355" s="8">
        <v>0</v>
      </c>
      <c r="AG355" s="8" t="s">
        <v>65</v>
      </c>
      <c r="AH355" s="8">
        <v>1</v>
      </c>
      <c r="AI355" s="8">
        <v>1</v>
      </c>
      <c r="AJ355" s="8">
        <v>1</v>
      </c>
      <c r="AK355" s="8">
        <v>1</v>
      </c>
      <c r="AR355" s="8">
        <v>3050</v>
      </c>
      <c r="AS355" s="8">
        <v>1310</v>
      </c>
      <c r="AT355">
        <v>7730686</v>
      </c>
      <c r="AU355" s="8" t="s">
        <v>66</v>
      </c>
      <c r="AW355" s="8">
        <v>0</v>
      </c>
    </row>
    <row r="356" spans="1:49" x14ac:dyDescent="0.25">
      <c r="A356" t="s">
        <v>1158</v>
      </c>
      <c r="C356" t="s">
        <v>1051</v>
      </c>
      <c r="D356" t="s">
        <v>1033</v>
      </c>
      <c r="E356">
        <v>1</v>
      </c>
      <c r="F356">
        <v>13.6</v>
      </c>
      <c r="G356">
        <v>750</v>
      </c>
      <c r="J356" t="s">
        <v>376</v>
      </c>
      <c r="K356" s="8">
        <v>1</v>
      </c>
      <c r="L356" s="8">
        <v>1</v>
      </c>
      <c r="M356" t="str">
        <f t="shared" si="5"/>
        <v>Stratifie-H3158-Chene Vicenza gris-ST19</v>
      </c>
      <c r="N356" s="8">
        <v>1</v>
      </c>
      <c r="O356" s="8">
        <v>1</v>
      </c>
      <c r="P356" s="8">
        <v>0</v>
      </c>
      <c r="Q356" s="8" t="s">
        <v>1035</v>
      </c>
      <c r="R356" s="8" t="s">
        <v>62</v>
      </c>
      <c r="AB356" t="s">
        <v>377</v>
      </c>
      <c r="AD356" t="s">
        <v>378</v>
      </c>
      <c r="AE356" s="8">
        <v>1</v>
      </c>
      <c r="AF356" s="8">
        <v>0</v>
      </c>
      <c r="AG356" s="8" t="s">
        <v>65</v>
      </c>
      <c r="AH356" s="8">
        <v>1</v>
      </c>
      <c r="AI356" s="8">
        <v>1</v>
      </c>
      <c r="AJ356" s="8">
        <v>1</v>
      </c>
      <c r="AK356" s="8">
        <v>1</v>
      </c>
      <c r="AR356" s="8">
        <v>3050</v>
      </c>
      <c r="AS356" s="8">
        <v>1310</v>
      </c>
      <c r="AT356">
        <v>7795218</v>
      </c>
      <c r="AU356" s="8" t="s">
        <v>66</v>
      </c>
      <c r="AW356" s="8">
        <v>0</v>
      </c>
    </row>
    <row r="357" spans="1:49" x14ac:dyDescent="0.25">
      <c r="A357" t="s">
        <v>1159</v>
      </c>
      <c r="C357" t="s">
        <v>1051</v>
      </c>
      <c r="D357" t="s">
        <v>1033</v>
      </c>
      <c r="E357">
        <v>1</v>
      </c>
      <c r="F357">
        <v>13.6</v>
      </c>
      <c r="G357">
        <v>750</v>
      </c>
      <c r="J357" t="s">
        <v>380</v>
      </c>
      <c r="K357" s="8">
        <v>1</v>
      </c>
      <c r="L357" s="8">
        <v>1</v>
      </c>
      <c r="M357" t="str">
        <f t="shared" si="5"/>
        <v>Stratifie-H3165-Chene Vicenza clair-ST12</v>
      </c>
      <c r="N357" s="8">
        <v>1</v>
      </c>
      <c r="O357" s="8">
        <v>1</v>
      </c>
      <c r="P357" s="8">
        <v>0</v>
      </c>
      <c r="Q357" s="8" t="s">
        <v>1035</v>
      </c>
      <c r="R357" s="8" t="s">
        <v>62</v>
      </c>
      <c r="AB357" t="s">
        <v>381</v>
      </c>
      <c r="AD357" t="s">
        <v>382</v>
      </c>
      <c r="AE357" s="8">
        <v>1</v>
      </c>
      <c r="AF357" s="8">
        <v>0</v>
      </c>
      <c r="AG357" s="8" t="s">
        <v>65</v>
      </c>
      <c r="AH357" s="8">
        <v>1</v>
      </c>
      <c r="AI357" s="8">
        <v>1</v>
      </c>
      <c r="AJ357" s="8">
        <v>1</v>
      </c>
      <c r="AK357" s="8">
        <v>1</v>
      </c>
      <c r="AR357" s="8">
        <v>3050</v>
      </c>
      <c r="AS357" s="8">
        <v>1310</v>
      </c>
      <c r="AT357">
        <v>4766543</v>
      </c>
      <c r="AU357" s="8" t="s">
        <v>66</v>
      </c>
      <c r="AW357" s="8">
        <v>0</v>
      </c>
    </row>
    <row r="358" spans="1:49" x14ac:dyDescent="0.25">
      <c r="A358" t="s">
        <v>1160</v>
      </c>
      <c r="C358" t="s">
        <v>1051</v>
      </c>
      <c r="D358" t="s">
        <v>1033</v>
      </c>
      <c r="E358">
        <v>1</v>
      </c>
      <c r="F358">
        <v>13.6</v>
      </c>
      <c r="G358">
        <v>750</v>
      </c>
      <c r="J358" t="s">
        <v>384</v>
      </c>
      <c r="K358" s="8">
        <v>1</v>
      </c>
      <c r="L358" s="8">
        <v>1</v>
      </c>
      <c r="M358" t="str">
        <f t="shared" si="5"/>
        <v>Stratifie-H3170-Chene Kendal naturel-ST12</v>
      </c>
      <c r="N358" s="8">
        <v>1</v>
      </c>
      <c r="O358" s="8">
        <v>1</v>
      </c>
      <c r="P358" s="8">
        <v>0</v>
      </c>
      <c r="Q358" s="8" t="s">
        <v>1035</v>
      </c>
      <c r="R358" s="8" t="s">
        <v>62</v>
      </c>
      <c r="AB358" t="s">
        <v>385</v>
      </c>
      <c r="AD358" t="s">
        <v>386</v>
      </c>
      <c r="AE358" s="8">
        <v>1</v>
      </c>
      <c r="AF358" s="8">
        <v>0</v>
      </c>
      <c r="AG358" s="8" t="s">
        <v>65</v>
      </c>
      <c r="AH358" s="8">
        <v>1</v>
      </c>
      <c r="AI358" s="8">
        <v>1</v>
      </c>
      <c r="AJ358" s="8">
        <v>1</v>
      </c>
      <c r="AK358" s="8">
        <v>1</v>
      </c>
      <c r="AR358" s="8">
        <v>3050</v>
      </c>
      <c r="AS358" s="8">
        <v>1310</v>
      </c>
      <c r="AT358">
        <v>7730687</v>
      </c>
      <c r="AU358" s="8" t="s">
        <v>66</v>
      </c>
      <c r="AW358" s="8">
        <v>0</v>
      </c>
    </row>
    <row r="359" spans="1:49" x14ac:dyDescent="0.25">
      <c r="A359" t="s">
        <v>1161</v>
      </c>
      <c r="C359" t="s">
        <v>1051</v>
      </c>
      <c r="D359" t="s">
        <v>1033</v>
      </c>
      <c r="E359">
        <v>1</v>
      </c>
      <c r="F359">
        <v>13.6</v>
      </c>
      <c r="G359">
        <v>750</v>
      </c>
      <c r="J359" t="s">
        <v>388</v>
      </c>
      <c r="K359" s="8">
        <v>1</v>
      </c>
      <c r="L359" s="8">
        <v>1</v>
      </c>
      <c r="M359" t="str">
        <f t="shared" si="5"/>
        <v>Stratifie-H3171-Chene Kendal huile-ST12</v>
      </c>
      <c r="N359" s="8">
        <v>1</v>
      </c>
      <c r="O359" s="8">
        <v>1</v>
      </c>
      <c r="P359" s="8">
        <v>0</v>
      </c>
      <c r="Q359" s="8" t="s">
        <v>1035</v>
      </c>
      <c r="R359" s="8" t="s">
        <v>62</v>
      </c>
      <c r="AB359" t="s">
        <v>389</v>
      </c>
      <c r="AD359" t="s">
        <v>390</v>
      </c>
      <c r="AE359" s="8">
        <v>1</v>
      </c>
      <c r="AF359" s="8">
        <v>0</v>
      </c>
      <c r="AG359" s="8" t="s">
        <v>65</v>
      </c>
      <c r="AH359" s="8">
        <v>1</v>
      </c>
      <c r="AI359" s="8">
        <v>1</v>
      </c>
      <c r="AJ359" s="8">
        <v>1</v>
      </c>
      <c r="AK359" s="8">
        <v>1</v>
      </c>
      <c r="AR359" s="8">
        <v>3050</v>
      </c>
      <c r="AS359" s="8">
        <v>1310</v>
      </c>
      <c r="AT359">
        <v>7730688</v>
      </c>
      <c r="AU359" s="8" t="s">
        <v>66</v>
      </c>
      <c r="AW359" s="8">
        <v>0</v>
      </c>
    </row>
    <row r="360" spans="1:49" x14ac:dyDescent="0.25">
      <c r="A360" t="s">
        <v>1162</v>
      </c>
      <c r="C360" t="s">
        <v>1051</v>
      </c>
      <c r="D360" t="s">
        <v>1033</v>
      </c>
      <c r="E360">
        <v>1</v>
      </c>
      <c r="F360">
        <v>15.69</v>
      </c>
      <c r="G360">
        <v>750</v>
      </c>
      <c r="J360" t="s">
        <v>392</v>
      </c>
      <c r="K360" s="8">
        <v>1</v>
      </c>
      <c r="L360" s="8">
        <v>1</v>
      </c>
      <c r="M360" t="str">
        <f t="shared" si="5"/>
        <v>Stratifie-H3176-Chene Halifax zinc-ST37</v>
      </c>
      <c r="N360" s="8">
        <v>1</v>
      </c>
      <c r="O360" s="8">
        <v>1</v>
      </c>
      <c r="P360" s="8">
        <v>0</v>
      </c>
      <c r="Q360" s="8" t="s">
        <v>1035</v>
      </c>
      <c r="R360" s="8" t="s">
        <v>62</v>
      </c>
      <c r="AB360" t="s">
        <v>393</v>
      </c>
      <c r="AD360" t="s">
        <v>394</v>
      </c>
      <c r="AE360" s="8">
        <v>1</v>
      </c>
      <c r="AF360" s="8">
        <v>0</v>
      </c>
      <c r="AG360" s="8" t="s">
        <v>65</v>
      </c>
      <c r="AH360" s="8">
        <v>1</v>
      </c>
      <c r="AI360" s="8">
        <v>1</v>
      </c>
      <c r="AJ360" s="8">
        <v>1</v>
      </c>
      <c r="AK360" s="8">
        <v>1</v>
      </c>
      <c r="AR360" s="8">
        <v>3050</v>
      </c>
      <c r="AS360" s="8">
        <v>1310</v>
      </c>
      <c r="AT360">
        <v>7795250</v>
      </c>
      <c r="AU360" s="8" t="s">
        <v>66</v>
      </c>
      <c r="AW360" s="8">
        <v>0</v>
      </c>
    </row>
    <row r="361" spans="1:49" x14ac:dyDescent="0.25">
      <c r="A361" t="s">
        <v>1163</v>
      </c>
      <c r="C361" t="s">
        <v>1051</v>
      </c>
      <c r="D361" t="s">
        <v>1033</v>
      </c>
      <c r="E361">
        <v>1</v>
      </c>
      <c r="F361">
        <v>13.6</v>
      </c>
      <c r="G361">
        <v>750</v>
      </c>
      <c r="J361" t="s">
        <v>396</v>
      </c>
      <c r="K361" s="8">
        <v>1</v>
      </c>
      <c r="L361" s="8">
        <v>1</v>
      </c>
      <c r="M361" t="str">
        <f t="shared" si="5"/>
        <v>Stratifie-H3190-Fineline Metallic anthracite-ST19</v>
      </c>
      <c r="N361" s="8">
        <v>1</v>
      </c>
      <c r="O361" s="8">
        <v>1</v>
      </c>
      <c r="P361" s="8">
        <v>0</v>
      </c>
      <c r="Q361" s="8" t="s">
        <v>1035</v>
      </c>
      <c r="R361" s="8" t="s">
        <v>62</v>
      </c>
      <c r="AB361" t="s">
        <v>397</v>
      </c>
      <c r="AD361" t="s">
        <v>398</v>
      </c>
      <c r="AE361" s="8">
        <v>1</v>
      </c>
      <c r="AF361" s="8">
        <v>0</v>
      </c>
      <c r="AG361" s="8" t="s">
        <v>65</v>
      </c>
      <c r="AH361" s="8">
        <v>1</v>
      </c>
      <c r="AI361" s="8">
        <v>1</v>
      </c>
      <c r="AJ361" s="8">
        <v>1</v>
      </c>
      <c r="AK361" s="8">
        <v>1</v>
      </c>
      <c r="AR361" s="8">
        <v>3050</v>
      </c>
      <c r="AS361" s="8">
        <v>1310</v>
      </c>
      <c r="AT361">
        <v>7795219</v>
      </c>
      <c r="AU361" s="8" t="s">
        <v>66</v>
      </c>
      <c r="AW361" s="8">
        <v>0</v>
      </c>
    </row>
    <row r="362" spans="1:49" x14ac:dyDescent="0.25">
      <c r="A362" t="s">
        <v>1164</v>
      </c>
      <c r="C362" t="s">
        <v>1051</v>
      </c>
      <c r="D362" t="s">
        <v>1033</v>
      </c>
      <c r="E362">
        <v>1</v>
      </c>
      <c r="F362">
        <v>13.6</v>
      </c>
      <c r="G362">
        <v>750</v>
      </c>
      <c r="J362" t="s">
        <v>400</v>
      </c>
      <c r="K362" s="8">
        <v>1</v>
      </c>
      <c r="L362" s="8">
        <v>1</v>
      </c>
      <c r="M362" t="str">
        <f t="shared" si="5"/>
        <v>Stratifie-H3195-Fineline blanc-ST19</v>
      </c>
      <c r="N362" s="8">
        <v>1</v>
      </c>
      <c r="O362" s="8">
        <v>1</v>
      </c>
      <c r="P362" s="8">
        <v>0</v>
      </c>
      <c r="Q362" s="8" t="s">
        <v>1035</v>
      </c>
      <c r="R362" s="8" t="s">
        <v>62</v>
      </c>
      <c r="AB362" t="s">
        <v>401</v>
      </c>
      <c r="AD362" t="s">
        <v>402</v>
      </c>
      <c r="AE362" s="8">
        <v>1</v>
      </c>
      <c r="AF362" s="8">
        <v>0</v>
      </c>
      <c r="AG362" s="8" t="s">
        <v>65</v>
      </c>
      <c r="AH362" s="8">
        <v>1</v>
      </c>
      <c r="AI362" s="8">
        <v>1</v>
      </c>
      <c r="AJ362" s="8">
        <v>1</v>
      </c>
      <c r="AK362" s="8">
        <v>1</v>
      </c>
      <c r="AR362" s="8">
        <v>3050</v>
      </c>
      <c r="AS362" s="8">
        <v>1310</v>
      </c>
      <c r="AT362">
        <v>4766544</v>
      </c>
      <c r="AU362" s="8" t="s">
        <v>66</v>
      </c>
      <c r="AW362" s="8">
        <v>0</v>
      </c>
    </row>
    <row r="363" spans="1:49" x14ac:dyDescent="0.25">
      <c r="A363" t="s">
        <v>1165</v>
      </c>
      <c r="C363" t="s">
        <v>1051</v>
      </c>
      <c r="D363" t="s">
        <v>1033</v>
      </c>
      <c r="E363">
        <v>1</v>
      </c>
      <c r="F363">
        <v>13.6</v>
      </c>
      <c r="G363">
        <v>750</v>
      </c>
      <c r="J363" t="s">
        <v>404</v>
      </c>
      <c r="K363" s="8">
        <v>1</v>
      </c>
      <c r="L363" s="8">
        <v>1</v>
      </c>
      <c r="M363" t="str">
        <f t="shared" si="5"/>
        <v>Stratifie-H3197-Fineline gris moyen-ST19</v>
      </c>
      <c r="N363" s="8">
        <v>1</v>
      </c>
      <c r="O363" s="8">
        <v>1</v>
      </c>
      <c r="P363" s="8">
        <v>0</v>
      </c>
      <c r="Q363" s="8" t="s">
        <v>1035</v>
      </c>
      <c r="R363" s="8" t="s">
        <v>62</v>
      </c>
      <c r="AB363" t="s">
        <v>405</v>
      </c>
      <c r="AD363" t="s">
        <v>406</v>
      </c>
      <c r="AE363" s="8">
        <v>1</v>
      </c>
      <c r="AF363" s="8">
        <v>0</v>
      </c>
      <c r="AG363" s="8" t="s">
        <v>65</v>
      </c>
      <c r="AH363" s="8">
        <v>1</v>
      </c>
      <c r="AI363" s="8">
        <v>1</v>
      </c>
      <c r="AJ363" s="8">
        <v>1</v>
      </c>
      <c r="AK363" s="8">
        <v>1</v>
      </c>
      <c r="AR363" s="8">
        <v>3050</v>
      </c>
      <c r="AS363" s="8">
        <v>1310</v>
      </c>
      <c r="AT363">
        <v>4766545</v>
      </c>
      <c r="AU363" s="8" t="s">
        <v>66</v>
      </c>
      <c r="AW363" s="8">
        <v>0</v>
      </c>
    </row>
    <row r="364" spans="1:49" x14ac:dyDescent="0.25">
      <c r="A364" t="s">
        <v>1166</v>
      </c>
      <c r="C364" t="s">
        <v>1051</v>
      </c>
      <c r="D364" t="s">
        <v>1033</v>
      </c>
      <c r="E364">
        <v>1</v>
      </c>
      <c r="F364">
        <v>13.6</v>
      </c>
      <c r="G364">
        <v>750</v>
      </c>
      <c r="J364" t="s">
        <v>408</v>
      </c>
      <c r="K364" s="8">
        <v>1</v>
      </c>
      <c r="L364" s="8">
        <v>1</v>
      </c>
      <c r="M364" t="str">
        <f t="shared" si="5"/>
        <v>Stratifie-H3198-Fineline gris fonce-ST19</v>
      </c>
      <c r="N364" s="8">
        <v>1</v>
      </c>
      <c r="O364" s="8">
        <v>1</v>
      </c>
      <c r="P364" s="8">
        <v>0</v>
      </c>
      <c r="Q364" s="8" t="s">
        <v>1035</v>
      </c>
      <c r="R364" s="8" t="s">
        <v>62</v>
      </c>
      <c r="AB364" t="s">
        <v>409</v>
      </c>
      <c r="AD364" t="s">
        <v>410</v>
      </c>
      <c r="AE364" s="8">
        <v>1</v>
      </c>
      <c r="AF364" s="8">
        <v>0</v>
      </c>
      <c r="AG364" s="8" t="s">
        <v>65</v>
      </c>
      <c r="AH364" s="8">
        <v>1</v>
      </c>
      <c r="AI364" s="8">
        <v>1</v>
      </c>
      <c r="AJ364" s="8">
        <v>1</v>
      </c>
      <c r="AK364" s="8">
        <v>1</v>
      </c>
      <c r="AR364" s="8">
        <v>3050</v>
      </c>
      <c r="AS364" s="8">
        <v>1310</v>
      </c>
      <c r="AT364">
        <v>4766546</v>
      </c>
      <c r="AU364" s="8" t="s">
        <v>66</v>
      </c>
      <c r="AW364" s="8">
        <v>0</v>
      </c>
    </row>
    <row r="365" spans="1:49" x14ac:dyDescent="0.25">
      <c r="A365" t="s">
        <v>1167</v>
      </c>
      <c r="C365" t="s">
        <v>1051</v>
      </c>
      <c r="D365" t="s">
        <v>1033</v>
      </c>
      <c r="E365">
        <v>1</v>
      </c>
      <c r="F365">
        <v>13.6</v>
      </c>
      <c r="G365">
        <v>750</v>
      </c>
      <c r="J365" t="s">
        <v>412</v>
      </c>
      <c r="K365" s="8">
        <v>1</v>
      </c>
      <c r="L365" s="8">
        <v>1</v>
      </c>
      <c r="M365" t="str">
        <f t="shared" si="5"/>
        <v>Stratifie-H3303-Chene Hamilton naturel-ST10</v>
      </c>
      <c r="N365" s="8">
        <v>1</v>
      </c>
      <c r="O365" s="8">
        <v>1</v>
      </c>
      <c r="P365" s="8">
        <v>0</v>
      </c>
      <c r="Q365" s="8" t="s">
        <v>1035</v>
      </c>
      <c r="R365" s="8" t="s">
        <v>62</v>
      </c>
      <c r="AB365" t="s">
        <v>413</v>
      </c>
      <c r="AD365" t="s">
        <v>414</v>
      </c>
      <c r="AE365" s="8">
        <v>1</v>
      </c>
      <c r="AF365" s="8">
        <v>0</v>
      </c>
      <c r="AG365" s="8" t="s">
        <v>65</v>
      </c>
      <c r="AH365" s="8">
        <v>1</v>
      </c>
      <c r="AI365" s="8">
        <v>1</v>
      </c>
      <c r="AJ365" s="8">
        <v>1</v>
      </c>
      <c r="AK365" s="8">
        <v>1</v>
      </c>
      <c r="AR365" s="8">
        <v>3050</v>
      </c>
      <c r="AS365" s="8">
        <v>1310</v>
      </c>
      <c r="AT365">
        <v>7730689</v>
      </c>
      <c r="AU365" s="8" t="s">
        <v>66</v>
      </c>
      <c r="AW365" s="8">
        <v>0</v>
      </c>
    </row>
    <row r="366" spans="1:49" x14ac:dyDescent="0.25">
      <c r="A366" t="s">
        <v>1168</v>
      </c>
      <c r="C366" t="s">
        <v>1051</v>
      </c>
      <c r="D366" t="s">
        <v>1033</v>
      </c>
      <c r="E366">
        <v>1</v>
      </c>
      <c r="F366">
        <v>15.69</v>
      </c>
      <c r="G366">
        <v>750</v>
      </c>
      <c r="J366" t="s">
        <v>416</v>
      </c>
      <c r="K366" s="8">
        <v>1</v>
      </c>
      <c r="L366" s="8">
        <v>1</v>
      </c>
      <c r="M366" t="str">
        <f t="shared" si="5"/>
        <v>Stratifie-H3309-Chene Gladstone sable-ST28</v>
      </c>
      <c r="N366" s="8">
        <v>1</v>
      </c>
      <c r="O366" s="8">
        <v>1</v>
      </c>
      <c r="P366" s="8">
        <v>0</v>
      </c>
      <c r="Q366" s="8" t="s">
        <v>1035</v>
      </c>
      <c r="R366" s="8" t="s">
        <v>62</v>
      </c>
      <c r="AB366" t="s">
        <v>417</v>
      </c>
      <c r="AD366" t="s">
        <v>418</v>
      </c>
      <c r="AE366" s="8">
        <v>1</v>
      </c>
      <c r="AF366" s="8">
        <v>0</v>
      </c>
      <c r="AG366" s="8" t="s">
        <v>65</v>
      </c>
      <c r="AH366" s="8">
        <v>1</v>
      </c>
      <c r="AI366" s="8">
        <v>1</v>
      </c>
      <c r="AJ366" s="8">
        <v>1</v>
      </c>
      <c r="AK366" s="8">
        <v>1</v>
      </c>
      <c r="AR366" s="8">
        <v>3050</v>
      </c>
      <c r="AS366" s="8">
        <v>1310</v>
      </c>
      <c r="AT366">
        <v>6404571</v>
      </c>
      <c r="AU366" s="8" t="s">
        <v>66</v>
      </c>
      <c r="AW366" s="8">
        <v>0</v>
      </c>
    </row>
    <row r="367" spans="1:49" x14ac:dyDescent="0.25">
      <c r="A367" t="s">
        <v>1169</v>
      </c>
      <c r="C367" t="s">
        <v>1051</v>
      </c>
      <c r="D367" t="s">
        <v>1033</v>
      </c>
      <c r="E367">
        <v>1</v>
      </c>
      <c r="F367">
        <v>16.850000000000001</v>
      </c>
      <c r="G367">
        <v>750</v>
      </c>
      <c r="J367" t="s">
        <v>420</v>
      </c>
      <c r="K367" s="8">
        <v>1</v>
      </c>
      <c r="L367" s="8">
        <v>1</v>
      </c>
      <c r="M367" t="str">
        <f t="shared" si="5"/>
        <v>Stratifie-H3311-Chene Cuneo blanchi-ST28</v>
      </c>
      <c r="N367" s="8">
        <v>1</v>
      </c>
      <c r="O367" s="8">
        <v>1</v>
      </c>
      <c r="P367" s="8">
        <v>0</v>
      </c>
      <c r="Q367" s="8" t="s">
        <v>1035</v>
      </c>
      <c r="R367" s="8" t="s">
        <v>62</v>
      </c>
      <c r="AB367" t="s">
        <v>421</v>
      </c>
      <c r="AD367" t="s">
        <v>422</v>
      </c>
      <c r="AE367" s="8">
        <v>1</v>
      </c>
      <c r="AF367" s="8">
        <v>0</v>
      </c>
      <c r="AG367" s="8" t="s">
        <v>65</v>
      </c>
      <c r="AH367" s="8">
        <v>1</v>
      </c>
      <c r="AI367" s="8">
        <v>1</v>
      </c>
      <c r="AJ367" s="8">
        <v>1</v>
      </c>
      <c r="AK367" s="8">
        <v>1</v>
      </c>
      <c r="AR367" s="8">
        <v>3050</v>
      </c>
      <c r="AS367" s="8">
        <v>1310</v>
      </c>
      <c r="AT367">
        <v>4780145</v>
      </c>
      <c r="AU367" s="8" t="s">
        <v>66</v>
      </c>
      <c r="AW367" s="8">
        <v>0</v>
      </c>
    </row>
    <row r="368" spans="1:49" x14ac:dyDescent="0.25">
      <c r="A368" t="s">
        <v>1170</v>
      </c>
      <c r="C368" t="s">
        <v>1051</v>
      </c>
      <c r="D368" t="s">
        <v>1033</v>
      </c>
      <c r="E368">
        <v>1</v>
      </c>
      <c r="F368">
        <v>15.69</v>
      </c>
      <c r="G368">
        <v>750</v>
      </c>
      <c r="J368" t="s">
        <v>424</v>
      </c>
      <c r="K368" s="8">
        <v>1</v>
      </c>
      <c r="L368" s="8">
        <v>1</v>
      </c>
      <c r="M368" t="str">
        <f t="shared" si="5"/>
        <v>Stratifie-H3317-Chene Cuneo brun-ST28</v>
      </c>
      <c r="N368" s="8">
        <v>1</v>
      </c>
      <c r="O368" s="8">
        <v>1</v>
      </c>
      <c r="P368" s="8">
        <v>0</v>
      </c>
      <c r="Q368" s="8" t="s">
        <v>1035</v>
      </c>
      <c r="R368" s="8" t="s">
        <v>62</v>
      </c>
      <c r="AB368" t="s">
        <v>425</v>
      </c>
      <c r="AD368" t="s">
        <v>426</v>
      </c>
      <c r="AE368" s="8">
        <v>1</v>
      </c>
      <c r="AF368" s="8">
        <v>0</v>
      </c>
      <c r="AG368" s="8" t="s">
        <v>65</v>
      </c>
      <c r="AH368" s="8">
        <v>1</v>
      </c>
      <c r="AI368" s="8">
        <v>1</v>
      </c>
      <c r="AJ368" s="8">
        <v>1</v>
      </c>
      <c r="AK368" s="8">
        <v>1</v>
      </c>
      <c r="AR368" s="8">
        <v>3050</v>
      </c>
      <c r="AS368" s="8">
        <v>1310</v>
      </c>
      <c r="AT368">
        <v>4766583</v>
      </c>
      <c r="AU368" s="8" t="s">
        <v>66</v>
      </c>
      <c r="AW368" s="8">
        <v>0</v>
      </c>
    </row>
    <row r="369" spans="1:49" x14ac:dyDescent="0.25">
      <c r="A369" t="s">
        <v>1171</v>
      </c>
      <c r="C369" t="s">
        <v>1051</v>
      </c>
      <c r="D369" t="s">
        <v>1033</v>
      </c>
      <c r="E369">
        <v>1</v>
      </c>
      <c r="F369">
        <v>15.69</v>
      </c>
      <c r="G369">
        <v>750</v>
      </c>
      <c r="J369" t="s">
        <v>428</v>
      </c>
      <c r="K369" s="8">
        <v>1</v>
      </c>
      <c r="L369" s="8">
        <v>1</v>
      </c>
      <c r="M369" t="str">
        <f t="shared" si="5"/>
        <v>Stratifie-H3325-Chene Gladstone tabac-ST28</v>
      </c>
      <c r="N369" s="8">
        <v>1</v>
      </c>
      <c r="O369" s="8">
        <v>1</v>
      </c>
      <c r="P369" s="8">
        <v>0</v>
      </c>
      <c r="Q369" s="8" t="s">
        <v>1035</v>
      </c>
      <c r="R369" s="8" t="s">
        <v>62</v>
      </c>
      <c r="AB369" t="s">
        <v>429</v>
      </c>
      <c r="AD369" t="s">
        <v>430</v>
      </c>
      <c r="AE369" s="8">
        <v>1</v>
      </c>
      <c r="AF369" s="8">
        <v>0</v>
      </c>
      <c r="AG369" s="8" t="s">
        <v>65</v>
      </c>
      <c r="AH369" s="8">
        <v>1</v>
      </c>
      <c r="AI369" s="8">
        <v>1</v>
      </c>
      <c r="AJ369" s="8">
        <v>1</v>
      </c>
      <c r="AK369" s="8">
        <v>1</v>
      </c>
      <c r="AR369" s="8">
        <v>3050</v>
      </c>
      <c r="AS369" s="8">
        <v>1310</v>
      </c>
      <c r="AT369">
        <v>6404573</v>
      </c>
      <c r="AU369" s="8" t="s">
        <v>66</v>
      </c>
      <c r="AW369" s="8">
        <v>0</v>
      </c>
    </row>
    <row r="370" spans="1:49" x14ac:dyDescent="0.25">
      <c r="A370" t="s">
        <v>1172</v>
      </c>
      <c r="C370" t="s">
        <v>1051</v>
      </c>
      <c r="D370" t="s">
        <v>1033</v>
      </c>
      <c r="E370">
        <v>1</v>
      </c>
      <c r="F370">
        <v>15.69</v>
      </c>
      <c r="G370">
        <v>750</v>
      </c>
      <c r="J370" t="s">
        <v>432</v>
      </c>
      <c r="K370" s="8">
        <v>1</v>
      </c>
      <c r="L370" s="8">
        <v>1</v>
      </c>
      <c r="M370" t="str">
        <f t="shared" si="5"/>
        <v>Stratifie-H3326-Chene Gladstone naturel-ST28</v>
      </c>
      <c r="N370" s="8">
        <v>1</v>
      </c>
      <c r="O370" s="8">
        <v>1</v>
      </c>
      <c r="P370" s="8">
        <v>0</v>
      </c>
      <c r="Q370" s="8" t="s">
        <v>1035</v>
      </c>
      <c r="R370" s="8" t="s">
        <v>62</v>
      </c>
      <c r="AB370" t="s">
        <v>433</v>
      </c>
      <c r="AD370" t="s">
        <v>434</v>
      </c>
      <c r="AE370" s="8">
        <v>1</v>
      </c>
      <c r="AF370" s="8">
        <v>0</v>
      </c>
      <c r="AG370" s="8" t="s">
        <v>65</v>
      </c>
      <c r="AH370" s="8">
        <v>1</v>
      </c>
      <c r="AI370" s="8">
        <v>1</v>
      </c>
      <c r="AJ370" s="8">
        <v>1</v>
      </c>
      <c r="AK370" s="8">
        <v>1</v>
      </c>
      <c r="AR370" s="8">
        <v>3050</v>
      </c>
      <c r="AS370" s="8">
        <v>1310</v>
      </c>
      <c r="AT370">
        <v>6404574</v>
      </c>
      <c r="AU370" s="8" t="s">
        <v>66</v>
      </c>
      <c r="AW370" s="8">
        <v>0</v>
      </c>
    </row>
    <row r="371" spans="1:49" x14ac:dyDescent="0.25">
      <c r="A371" t="s">
        <v>1173</v>
      </c>
      <c r="C371" t="s">
        <v>1051</v>
      </c>
      <c r="D371" t="s">
        <v>1033</v>
      </c>
      <c r="E371">
        <v>1</v>
      </c>
      <c r="F371">
        <v>13.6</v>
      </c>
      <c r="G371">
        <v>750</v>
      </c>
      <c r="J371" t="s">
        <v>436</v>
      </c>
      <c r="K371" s="8">
        <v>1</v>
      </c>
      <c r="L371" s="8">
        <v>1</v>
      </c>
      <c r="M371" t="str">
        <f t="shared" si="5"/>
        <v>Stratifie-H3331-Chene Nebraska naturel-ST10</v>
      </c>
      <c r="N371" s="8">
        <v>1</v>
      </c>
      <c r="O371" s="8">
        <v>1</v>
      </c>
      <c r="P371" s="8">
        <v>0</v>
      </c>
      <c r="Q371" s="8" t="s">
        <v>1035</v>
      </c>
      <c r="R371" s="8" t="s">
        <v>62</v>
      </c>
      <c r="AB371" t="s">
        <v>437</v>
      </c>
      <c r="AD371" t="s">
        <v>438</v>
      </c>
      <c r="AE371" s="8">
        <v>1</v>
      </c>
      <c r="AF371" s="8">
        <v>0</v>
      </c>
      <c r="AG371" s="8" t="s">
        <v>65</v>
      </c>
      <c r="AH371" s="8">
        <v>1</v>
      </c>
      <c r="AI371" s="8">
        <v>1</v>
      </c>
      <c r="AJ371" s="8">
        <v>1</v>
      </c>
      <c r="AK371" s="8">
        <v>1</v>
      </c>
      <c r="AR371" s="8">
        <v>3050</v>
      </c>
      <c r="AS371" s="8">
        <v>1310</v>
      </c>
      <c r="AT371">
        <v>7730690</v>
      </c>
      <c r="AU371" s="8" t="s">
        <v>66</v>
      </c>
      <c r="AW371" s="8">
        <v>0</v>
      </c>
    </row>
    <row r="372" spans="1:49" x14ac:dyDescent="0.25">
      <c r="A372" t="s">
        <v>1174</v>
      </c>
      <c r="C372" t="s">
        <v>1051</v>
      </c>
      <c r="D372" t="s">
        <v>1033</v>
      </c>
      <c r="E372">
        <v>1</v>
      </c>
      <c r="F372">
        <v>13.6</v>
      </c>
      <c r="G372">
        <v>750</v>
      </c>
      <c r="J372" t="s">
        <v>440</v>
      </c>
      <c r="K372" s="8">
        <v>1</v>
      </c>
      <c r="L372" s="8">
        <v>1</v>
      </c>
      <c r="M372" t="str">
        <f t="shared" si="5"/>
        <v>Stratifie-H3332-Chene Nebraska gris-ST10</v>
      </c>
      <c r="N372" s="8">
        <v>1</v>
      </c>
      <c r="O372" s="8">
        <v>1</v>
      </c>
      <c r="P372" s="8">
        <v>0</v>
      </c>
      <c r="Q372" s="8" t="s">
        <v>1035</v>
      </c>
      <c r="R372" s="8" t="s">
        <v>62</v>
      </c>
      <c r="AB372" t="s">
        <v>441</v>
      </c>
      <c r="AD372" t="s">
        <v>442</v>
      </c>
      <c r="AE372" s="8">
        <v>1</v>
      </c>
      <c r="AF372" s="8">
        <v>0</v>
      </c>
      <c r="AG372" s="8" t="s">
        <v>65</v>
      </c>
      <c r="AH372" s="8">
        <v>1</v>
      </c>
      <c r="AI372" s="8">
        <v>1</v>
      </c>
      <c r="AJ372" s="8">
        <v>1</v>
      </c>
      <c r="AK372" s="8">
        <v>1</v>
      </c>
      <c r="AR372" s="8">
        <v>3050</v>
      </c>
      <c r="AS372" s="8">
        <v>1310</v>
      </c>
      <c r="AT372">
        <v>7730691</v>
      </c>
      <c r="AU372" s="8" t="s">
        <v>66</v>
      </c>
      <c r="AW372" s="8">
        <v>0</v>
      </c>
    </row>
    <row r="373" spans="1:49" x14ac:dyDescent="0.25">
      <c r="A373" t="s">
        <v>1175</v>
      </c>
      <c r="C373" t="s">
        <v>1051</v>
      </c>
      <c r="D373" t="s">
        <v>1033</v>
      </c>
      <c r="E373">
        <v>1</v>
      </c>
      <c r="F373">
        <v>13.6</v>
      </c>
      <c r="G373">
        <v>750</v>
      </c>
      <c r="J373" t="s">
        <v>444</v>
      </c>
      <c r="K373" s="8">
        <v>1</v>
      </c>
      <c r="L373" s="8">
        <v>1</v>
      </c>
      <c r="M373" t="str">
        <f t="shared" si="5"/>
        <v>Stratifie-H3349-Chene Kaisersberg-ST19</v>
      </c>
      <c r="N373" s="8">
        <v>1</v>
      </c>
      <c r="O373" s="8">
        <v>1</v>
      </c>
      <c r="P373" s="8">
        <v>0</v>
      </c>
      <c r="Q373" s="8" t="s">
        <v>1035</v>
      </c>
      <c r="R373" s="8" t="s">
        <v>62</v>
      </c>
      <c r="AB373" t="s">
        <v>445</v>
      </c>
      <c r="AD373" t="s">
        <v>446</v>
      </c>
      <c r="AE373" s="8">
        <v>1</v>
      </c>
      <c r="AF373" s="8">
        <v>0</v>
      </c>
      <c r="AG373" s="8" t="s">
        <v>65</v>
      </c>
      <c r="AH373" s="8">
        <v>1</v>
      </c>
      <c r="AI373" s="8">
        <v>1</v>
      </c>
      <c r="AJ373" s="8">
        <v>1</v>
      </c>
      <c r="AK373" s="8">
        <v>1</v>
      </c>
      <c r="AR373" s="8">
        <v>3050</v>
      </c>
      <c r="AS373" s="8">
        <v>1310</v>
      </c>
      <c r="AT373">
        <v>7795222</v>
      </c>
      <c r="AU373" s="8" t="s">
        <v>66</v>
      </c>
      <c r="AW373" s="8">
        <v>0</v>
      </c>
    </row>
    <row r="374" spans="1:49" x14ac:dyDescent="0.25">
      <c r="A374" t="s">
        <v>1176</v>
      </c>
      <c r="C374" t="s">
        <v>1051</v>
      </c>
      <c r="D374" t="s">
        <v>1033</v>
      </c>
      <c r="E374">
        <v>1</v>
      </c>
      <c r="F374">
        <v>15.69</v>
      </c>
      <c r="G374">
        <v>750</v>
      </c>
      <c r="J374" t="s">
        <v>448</v>
      </c>
      <c r="K374" s="8">
        <v>1</v>
      </c>
      <c r="L374" s="8">
        <v>1</v>
      </c>
      <c r="M374" t="str">
        <f t="shared" si="5"/>
        <v>Stratifie-H3359-Chene Davenport naturel clair-ST32</v>
      </c>
      <c r="N374" s="8">
        <v>1</v>
      </c>
      <c r="O374" s="8">
        <v>1</v>
      </c>
      <c r="P374" s="8">
        <v>0</v>
      </c>
      <c r="Q374" s="8" t="s">
        <v>1035</v>
      </c>
      <c r="R374" s="8" t="s">
        <v>62</v>
      </c>
      <c r="AB374" t="s">
        <v>449</v>
      </c>
      <c r="AD374" t="s">
        <v>450</v>
      </c>
      <c r="AE374" s="8">
        <v>1</v>
      </c>
      <c r="AF374" s="8">
        <v>0</v>
      </c>
      <c r="AG374" s="8" t="s">
        <v>65</v>
      </c>
      <c r="AH374" s="8">
        <v>1</v>
      </c>
      <c r="AI374" s="8">
        <v>1</v>
      </c>
      <c r="AJ374" s="8">
        <v>1</v>
      </c>
      <c r="AK374" s="8">
        <v>1</v>
      </c>
      <c r="AR374" s="8">
        <v>3050</v>
      </c>
      <c r="AS374" s="8">
        <v>1310</v>
      </c>
      <c r="AT374">
        <v>4766584</v>
      </c>
      <c r="AU374" s="8" t="s">
        <v>66</v>
      </c>
      <c r="AW374" s="8">
        <v>0</v>
      </c>
    </row>
    <row r="375" spans="1:49" x14ac:dyDescent="0.25">
      <c r="A375" t="s">
        <v>1177</v>
      </c>
      <c r="C375" t="s">
        <v>1051</v>
      </c>
      <c r="D375" t="s">
        <v>1033</v>
      </c>
      <c r="E375">
        <v>1</v>
      </c>
      <c r="F375">
        <v>13.6</v>
      </c>
      <c r="G375">
        <v>750</v>
      </c>
      <c r="J375" t="s">
        <v>452</v>
      </c>
      <c r="K375" s="8">
        <v>1</v>
      </c>
      <c r="L375" s="8">
        <v>1</v>
      </c>
      <c r="M375" t="str">
        <f t="shared" si="5"/>
        <v>Stratifie-H3368-Chene de Lancaster naturel-ST9</v>
      </c>
      <c r="N375" s="8">
        <v>1</v>
      </c>
      <c r="O375" s="8">
        <v>1</v>
      </c>
      <c r="P375" s="8">
        <v>0</v>
      </c>
      <c r="Q375" s="8" t="s">
        <v>1035</v>
      </c>
      <c r="R375" s="8" t="s">
        <v>62</v>
      </c>
      <c r="AB375" t="s">
        <v>453</v>
      </c>
      <c r="AD375" t="s">
        <v>454</v>
      </c>
      <c r="AE375" s="8">
        <v>1</v>
      </c>
      <c r="AF375" s="8">
        <v>0</v>
      </c>
      <c r="AG375" s="8" t="s">
        <v>65</v>
      </c>
      <c r="AH375" s="8">
        <v>1</v>
      </c>
      <c r="AI375" s="8">
        <v>1</v>
      </c>
      <c r="AJ375" s="8">
        <v>1</v>
      </c>
      <c r="AK375" s="8">
        <v>1</v>
      </c>
      <c r="AR375" s="8">
        <v>3050</v>
      </c>
      <c r="AS375" s="8">
        <v>1310</v>
      </c>
      <c r="AT375">
        <v>7730692</v>
      </c>
      <c r="AU375" s="8" t="s">
        <v>66</v>
      </c>
      <c r="AW375" s="8">
        <v>0</v>
      </c>
    </row>
    <row r="376" spans="1:49" x14ac:dyDescent="0.25">
      <c r="A376" t="s">
        <v>1178</v>
      </c>
      <c r="C376" t="s">
        <v>1051</v>
      </c>
      <c r="D376" t="s">
        <v>1033</v>
      </c>
      <c r="E376">
        <v>1</v>
      </c>
      <c r="F376">
        <v>12.27</v>
      </c>
      <c r="G376">
        <v>750</v>
      </c>
      <c r="J376" t="s">
        <v>456</v>
      </c>
      <c r="K376" s="8">
        <v>1</v>
      </c>
      <c r="L376" s="8">
        <v>1</v>
      </c>
      <c r="M376" t="str">
        <f t="shared" si="5"/>
        <v>Stratifie-H3395-Chene Corbridge naturel-ST12</v>
      </c>
      <c r="N376" s="8">
        <v>1</v>
      </c>
      <c r="O376" s="8">
        <v>1</v>
      </c>
      <c r="P376" s="8">
        <v>0</v>
      </c>
      <c r="Q376" s="8" t="s">
        <v>1035</v>
      </c>
      <c r="R376" s="8" t="s">
        <v>62</v>
      </c>
      <c r="AB376" t="s">
        <v>457</v>
      </c>
      <c r="AD376" t="s">
        <v>458</v>
      </c>
      <c r="AE376" s="8">
        <v>1</v>
      </c>
      <c r="AF376" s="8">
        <v>0</v>
      </c>
      <c r="AG376" s="8" t="s">
        <v>65</v>
      </c>
      <c r="AH376" s="8">
        <v>1</v>
      </c>
      <c r="AI376" s="8">
        <v>1</v>
      </c>
      <c r="AJ376" s="8">
        <v>1</v>
      </c>
      <c r="AK376" s="8">
        <v>1</v>
      </c>
      <c r="AR376" s="8">
        <v>3050</v>
      </c>
      <c r="AS376" s="8">
        <v>1310</v>
      </c>
      <c r="AT376">
        <v>7730693</v>
      </c>
      <c r="AU376" s="8" t="s">
        <v>66</v>
      </c>
      <c r="AW376" s="8">
        <v>0</v>
      </c>
    </row>
    <row r="377" spans="1:49" x14ac:dyDescent="0.25">
      <c r="A377" t="s">
        <v>1179</v>
      </c>
      <c r="C377" t="s">
        <v>1051</v>
      </c>
      <c r="D377" t="s">
        <v>1033</v>
      </c>
      <c r="E377">
        <v>1</v>
      </c>
      <c r="F377">
        <v>13.6</v>
      </c>
      <c r="G377">
        <v>750</v>
      </c>
      <c r="J377" t="s">
        <v>460</v>
      </c>
      <c r="K377" s="8">
        <v>1</v>
      </c>
      <c r="L377" s="8">
        <v>1</v>
      </c>
      <c r="M377" t="str">
        <f t="shared" si="5"/>
        <v>Stratifie-H3398-Chene Kendal cognac-ST12</v>
      </c>
      <c r="N377" s="8">
        <v>1</v>
      </c>
      <c r="O377" s="8">
        <v>1</v>
      </c>
      <c r="P377" s="8">
        <v>0</v>
      </c>
      <c r="Q377" s="8" t="s">
        <v>1035</v>
      </c>
      <c r="R377" s="8" t="s">
        <v>62</v>
      </c>
      <c r="AB377" t="s">
        <v>461</v>
      </c>
      <c r="AD377" t="s">
        <v>462</v>
      </c>
      <c r="AE377" s="8">
        <v>1</v>
      </c>
      <c r="AF377" s="8">
        <v>0</v>
      </c>
      <c r="AG377" s="8" t="s">
        <v>65</v>
      </c>
      <c r="AH377" s="8">
        <v>1</v>
      </c>
      <c r="AI377" s="8">
        <v>1</v>
      </c>
      <c r="AJ377" s="8">
        <v>1</v>
      </c>
      <c r="AK377" s="8">
        <v>1</v>
      </c>
      <c r="AR377" s="8">
        <v>3050</v>
      </c>
      <c r="AS377" s="8">
        <v>1310</v>
      </c>
      <c r="AT377">
        <v>7730694</v>
      </c>
      <c r="AU377" s="8" t="s">
        <v>66</v>
      </c>
      <c r="AW377" s="8">
        <v>0</v>
      </c>
    </row>
    <row r="378" spans="1:49" x14ac:dyDescent="0.25">
      <c r="A378" t="s">
        <v>1180</v>
      </c>
      <c r="C378" t="s">
        <v>1051</v>
      </c>
      <c r="D378" t="s">
        <v>1033</v>
      </c>
      <c r="E378">
        <v>1</v>
      </c>
      <c r="F378">
        <v>15.69</v>
      </c>
      <c r="G378">
        <v>750</v>
      </c>
      <c r="J378" t="s">
        <v>464</v>
      </c>
      <c r="K378" s="8">
        <v>1</v>
      </c>
      <c r="L378" s="8">
        <v>1</v>
      </c>
      <c r="M378" t="str">
        <f t="shared" si="5"/>
        <v>Stratifie-H3406-Meleze anthracite-ST38</v>
      </c>
      <c r="N378" s="8">
        <v>1</v>
      </c>
      <c r="O378" s="8">
        <v>1</v>
      </c>
      <c r="P378" s="8">
        <v>0</v>
      </c>
      <c r="Q378" s="8" t="s">
        <v>1035</v>
      </c>
      <c r="R378" s="8" t="s">
        <v>62</v>
      </c>
      <c r="AB378" t="s">
        <v>465</v>
      </c>
      <c r="AD378" t="s">
        <v>466</v>
      </c>
      <c r="AE378" s="8">
        <v>1</v>
      </c>
      <c r="AF378" s="8">
        <v>0</v>
      </c>
      <c r="AG378" s="8" t="s">
        <v>65</v>
      </c>
      <c r="AH378" s="8">
        <v>1</v>
      </c>
      <c r="AI378" s="8">
        <v>1</v>
      </c>
      <c r="AJ378" s="8">
        <v>1</v>
      </c>
      <c r="AK378" s="8">
        <v>1</v>
      </c>
      <c r="AR378" s="8">
        <v>3050</v>
      </c>
      <c r="AS378" s="8">
        <v>1310</v>
      </c>
      <c r="AT378">
        <v>6890932</v>
      </c>
      <c r="AU378" s="8" t="s">
        <v>66</v>
      </c>
      <c r="AW378" s="8">
        <v>0</v>
      </c>
    </row>
    <row r="379" spans="1:49" x14ac:dyDescent="0.25">
      <c r="A379" t="s">
        <v>1181</v>
      </c>
      <c r="C379" t="s">
        <v>1051</v>
      </c>
      <c r="D379" t="s">
        <v>1033</v>
      </c>
      <c r="E379">
        <v>1</v>
      </c>
      <c r="F379">
        <v>15.69</v>
      </c>
      <c r="G379">
        <v>750</v>
      </c>
      <c r="J379" t="s">
        <v>468</v>
      </c>
      <c r="K379" s="8">
        <v>1</v>
      </c>
      <c r="L379" s="8">
        <v>1</v>
      </c>
      <c r="M379" t="str">
        <f t="shared" si="5"/>
        <v>Stratifie-H3408-Meleze brun thermo-ST38</v>
      </c>
      <c r="N379" s="8">
        <v>1</v>
      </c>
      <c r="O379" s="8">
        <v>1</v>
      </c>
      <c r="P379" s="8">
        <v>0</v>
      </c>
      <c r="Q379" s="8" t="s">
        <v>1035</v>
      </c>
      <c r="R379" s="8" t="s">
        <v>62</v>
      </c>
      <c r="AB379" t="s">
        <v>469</v>
      </c>
      <c r="AD379" t="s">
        <v>470</v>
      </c>
      <c r="AE379" s="8">
        <v>1</v>
      </c>
      <c r="AF379" s="8">
        <v>0</v>
      </c>
      <c r="AG379" s="8" t="s">
        <v>65</v>
      </c>
      <c r="AH379" s="8">
        <v>1</v>
      </c>
      <c r="AI379" s="8">
        <v>1</v>
      </c>
      <c r="AJ379" s="8">
        <v>1</v>
      </c>
      <c r="AK379" s="8">
        <v>1</v>
      </c>
      <c r="AR379" s="8">
        <v>3050</v>
      </c>
      <c r="AS379" s="8">
        <v>1310</v>
      </c>
      <c r="AT379">
        <v>7795252</v>
      </c>
      <c r="AU379" s="8" t="s">
        <v>66</v>
      </c>
      <c r="AW379" s="8">
        <v>0</v>
      </c>
    </row>
    <row r="380" spans="1:49" x14ac:dyDescent="0.25">
      <c r="A380" t="s">
        <v>1182</v>
      </c>
      <c r="C380" t="s">
        <v>1051</v>
      </c>
      <c r="D380" t="s">
        <v>1033</v>
      </c>
      <c r="E380">
        <v>1</v>
      </c>
      <c r="F380">
        <v>15.69</v>
      </c>
      <c r="G380">
        <v>750</v>
      </c>
      <c r="J380" t="s">
        <v>472</v>
      </c>
      <c r="K380" s="8">
        <v>1</v>
      </c>
      <c r="L380" s="8">
        <v>1</v>
      </c>
      <c r="M380" t="str">
        <f t="shared" si="5"/>
        <v>Stratifie-H3409-Meleze naturel-ST38</v>
      </c>
      <c r="N380" s="8">
        <v>1</v>
      </c>
      <c r="O380" s="8">
        <v>1</v>
      </c>
      <c r="P380" s="8">
        <v>0</v>
      </c>
      <c r="Q380" s="8" t="s">
        <v>1035</v>
      </c>
      <c r="R380" s="8" t="s">
        <v>62</v>
      </c>
      <c r="AB380" t="s">
        <v>473</v>
      </c>
      <c r="AD380" t="s">
        <v>474</v>
      </c>
      <c r="AE380" s="8">
        <v>1</v>
      </c>
      <c r="AF380" s="8">
        <v>0</v>
      </c>
      <c r="AG380" s="8" t="s">
        <v>65</v>
      </c>
      <c r="AH380" s="8">
        <v>1</v>
      </c>
      <c r="AI380" s="8">
        <v>1</v>
      </c>
      <c r="AJ380" s="8">
        <v>1</v>
      </c>
      <c r="AK380" s="8">
        <v>1</v>
      </c>
      <c r="AR380" s="8">
        <v>3050</v>
      </c>
      <c r="AS380" s="8">
        <v>1310</v>
      </c>
      <c r="AT380">
        <v>4766585</v>
      </c>
      <c r="AU380" s="8" t="s">
        <v>66</v>
      </c>
      <c r="AW380" s="8">
        <v>0</v>
      </c>
    </row>
    <row r="381" spans="1:49" x14ac:dyDescent="0.25">
      <c r="A381" t="s">
        <v>1183</v>
      </c>
      <c r="C381" t="s">
        <v>1051</v>
      </c>
      <c r="D381" t="s">
        <v>1033</v>
      </c>
      <c r="E381">
        <v>1</v>
      </c>
      <c r="F381">
        <v>13.6</v>
      </c>
      <c r="G381">
        <v>750</v>
      </c>
      <c r="J381" t="s">
        <v>476</v>
      </c>
      <c r="K381" s="8">
        <v>1</v>
      </c>
      <c r="L381" s="8">
        <v>1</v>
      </c>
      <c r="M381" t="str">
        <f t="shared" si="5"/>
        <v>Stratifie-H3430-Pin Aland blanc-ST22</v>
      </c>
      <c r="N381" s="8">
        <v>1</v>
      </c>
      <c r="O381" s="8">
        <v>1</v>
      </c>
      <c r="P381" s="8">
        <v>0</v>
      </c>
      <c r="Q381" s="8" t="s">
        <v>1035</v>
      </c>
      <c r="R381" s="8" t="s">
        <v>62</v>
      </c>
      <c r="AB381" t="s">
        <v>477</v>
      </c>
      <c r="AD381" t="s">
        <v>478</v>
      </c>
      <c r="AE381" s="8">
        <v>1</v>
      </c>
      <c r="AF381" s="8">
        <v>0</v>
      </c>
      <c r="AG381" s="8" t="s">
        <v>65</v>
      </c>
      <c r="AH381" s="8">
        <v>1</v>
      </c>
      <c r="AI381" s="8">
        <v>1</v>
      </c>
      <c r="AJ381" s="8">
        <v>1</v>
      </c>
      <c r="AK381" s="8">
        <v>1</v>
      </c>
      <c r="AR381" s="8">
        <v>3050</v>
      </c>
      <c r="AS381" s="8">
        <v>1310</v>
      </c>
      <c r="AT381">
        <v>7730695</v>
      </c>
      <c r="AU381" s="8" t="s">
        <v>66</v>
      </c>
      <c r="AW381" s="8">
        <v>0</v>
      </c>
    </row>
    <row r="382" spans="1:49" x14ac:dyDescent="0.25">
      <c r="A382" t="s">
        <v>1184</v>
      </c>
      <c r="C382" t="s">
        <v>1051</v>
      </c>
      <c r="D382" t="s">
        <v>1033</v>
      </c>
      <c r="E382">
        <v>1</v>
      </c>
      <c r="F382">
        <v>13.6</v>
      </c>
      <c r="G382">
        <v>750</v>
      </c>
      <c r="J382" t="s">
        <v>480</v>
      </c>
      <c r="K382" s="8">
        <v>1</v>
      </c>
      <c r="L382" s="8">
        <v>1</v>
      </c>
      <c r="M382" t="str">
        <f t="shared" si="5"/>
        <v>Stratifie-H3433-Pin Aland polaire-ST22</v>
      </c>
      <c r="N382" s="8">
        <v>1</v>
      </c>
      <c r="O382" s="8">
        <v>1</v>
      </c>
      <c r="P382" s="8">
        <v>0</v>
      </c>
      <c r="Q382" s="8" t="s">
        <v>1035</v>
      </c>
      <c r="R382" s="8" t="s">
        <v>62</v>
      </c>
      <c r="AB382" t="s">
        <v>481</v>
      </c>
      <c r="AD382" t="s">
        <v>482</v>
      </c>
      <c r="AE382" s="8">
        <v>1</v>
      </c>
      <c r="AF382" s="8">
        <v>0</v>
      </c>
      <c r="AG382" s="8" t="s">
        <v>65</v>
      </c>
      <c r="AH382" s="8">
        <v>1</v>
      </c>
      <c r="AI382" s="8">
        <v>1</v>
      </c>
      <c r="AJ382" s="8">
        <v>1</v>
      </c>
      <c r="AK382" s="8">
        <v>1</v>
      </c>
      <c r="AR382" s="8">
        <v>3050</v>
      </c>
      <c r="AS382" s="8">
        <v>1310</v>
      </c>
      <c r="AT382">
        <v>7730696</v>
      </c>
      <c r="AU382" s="8" t="s">
        <v>66</v>
      </c>
      <c r="AW382" s="8">
        <v>0</v>
      </c>
    </row>
    <row r="383" spans="1:49" x14ac:dyDescent="0.25">
      <c r="A383" t="s">
        <v>1185</v>
      </c>
      <c r="C383" t="s">
        <v>1051</v>
      </c>
      <c r="D383" t="s">
        <v>1033</v>
      </c>
      <c r="E383">
        <v>1</v>
      </c>
      <c r="F383">
        <v>13.6</v>
      </c>
      <c r="G383">
        <v>750</v>
      </c>
      <c r="J383" t="s">
        <v>484</v>
      </c>
      <c r="K383" s="8">
        <v>1</v>
      </c>
      <c r="L383" s="8">
        <v>1</v>
      </c>
      <c r="M383" t="str">
        <f t="shared" si="5"/>
        <v>Stratifie-H3450-Fleetwood blanc-ST22</v>
      </c>
      <c r="N383" s="8">
        <v>1</v>
      </c>
      <c r="O383" s="8">
        <v>1</v>
      </c>
      <c r="P383" s="8">
        <v>0</v>
      </c>
      <c r="Q383" s="8" t="s">
        <v>1035</v>
      </c>
      <c r="R383" s="8" t="s">
        <v>62</v>
      </c>
      <c r="AB383" t="s">
        <v>485</v>
      </c>
      <c r="AD383" t="s">
        <v>486</v>
      </c>
      <c r="AE383" s="8">
        <v>1</v>
      </c>
      <c r="AF383" s="8">
        <v>0</v>
      </c>
      <c r="AG383" s="8" t="s">
        <v>65</v>
      </c>
      <c r="AH383" s="8">
        <v>1</v>
      </c>
      <c r="AI383" s="8">
        <v>1</v>
      </c>
      <c r="AJ383" s="8">
        <v>1</v>
      </c>
      <c r="AK383" s="8">
        <v>1</v>
      </c>
      <c r="AR383" s="8">
        <v>3050</v>
      </c>
      <c r="AS383" s="8">
        <v>1310</v>
      </c>
      <c r="AT383">
        <v>7730697</v>
      </c>
      <c r="AU383" s="8" t="s">
        <v>66</v>
      </c>
      <c r="AW383" s="8">
        <v>0</v>
      </c>
    </row>
    <row r="384" spans="1:49" x14ac:dyDescent="0.25">
      <c r="A384" t="s">
        <v>1186</v>
      </c>
      <c r="C384" t="s">
        <v>1051</v>
      </c>
      <c r="D384" t="s">
        <v>1033</v>
      </c>
      <c r="E384">
        <v>1</v>
      </c>
      <c r="F384">
        <v>13.6</v>
      </c>
      <c r="G384">
        <v>750</v>
      </c>
      <c r="J384" t="s">
        <v>488</v>
      </c>
      <c r="K384" s="8">
        <v>1</v>
      </c>
      <c r="L384" s="8">
        <v>1</v>
      </c>
      <c r="M384" t="str">
        <f t="shared" si="5"/>
        <v>Stratifie-H3700-Noyer du Pacifique naturel-ST10</v>
      </c>
      <c r="N384" s="8">
        <v>1</v>
      </c>
      <c r="O384" s="8">
        <v>1</v>
      </c>
      <c r="P384" s="8">
        <v>0</v>
      </c>
      <c r="Q384" s="8" t="s">
        <v>1035</v>
      </c>
      <c r="R384" s="8" t="s">
        <v>62</v>
      </c>
      <c r="AB384" t="s">
        <v>489</v>
      </c>
      <c r="AD384" t="s">
        <v>490</v>
      </c>
      <c r="AE384" s="8">
        <v>1</v>
      </c>
      <c r="AF384" s="8">
        <v>0</v>
      </c>
      <c r="AG384" s="8" t="s">
        <v>65</v>
      </c>
      <c r="AH384" s="8">
        <v>1</v>
      </c>
      <c r="AI384" s="8">
        <v>1</v>
      </c>
      <c r="AJ384" s="8">
        <v>1</v>
      </c>
      <c r="AK384" s="8">
        <v>1</v>
      </c>
      <c r="AR384" s="8">
        <v>3050</v>
      </c>
      <c r="AS384" s="8">
        <v>1310</v>
      </c>
      <c r="AT384">
        <v>7730701</v>
      </c>
      <c r="AU384" s="8" t="s">
        <v>66</v>
      </c>
      <c r="AW384" s="8">
        <v>0</v>
      </c>
    </row>
    <row r="385" spans="1:49" x14ac:dyDescent="0.25">
      <c r="A385" t="s">
        <v>1187</v>
      </c>
      <c r="C385" t="s">
        <v>1051</v>
      </c>
      <c r="D385" t="s">
        <v>1033</v>
      </c>
      <c r="E385">
        <v>1</v>
      </c>
      <c r="F385">
        <v>13.6</v>
      </c>
      <c r="G385">
        <v>750</v>
      </c>
      <c r="J385" t="s">
        <v>492</v>
      </c>
      <c r="K385" s="8">
        <v>1</v>
      </c>
      <c r="L385" s="8">
        <v>1</v>
      </c>
      <c r="M385" t="str">
        <f t="shared" si="5"/>
        <v>Stratifie-H3702-Noyer du Pacifique tabac-ST10</v>
      </c>
      <c r="N385" s="8">
        <v>1</v>
      </c>
      <c r="O385" s="8">
        <v>1</v>
      </c>
      <c r="P385" s="8">
        <v>0</v>
      </c>
      <c r="Q385" s="8" t="s">
        <v>1035</v>
      </c>
      <c r="R385" s="8" t="s">
        <v>62</v>
      </c>
      <c r="AB385" t="s">
        <v>493</v>
      </c>
      <c r="AD385" t="s">
        <v>494</v>
      </c>
      <c r="AE385" s="8">
        <v>1</v>
      </c>
      <c r="AF385" s="8">
        <v>0</v>
      </c>
      <c r="AG385" s="8" t="s">
        <v>65</v>
      </c>
      <c r="AH385" s="8">
        <v>1</v>
      </c>
      <c r="AI385" s="8">
        <v>1</v>
      </c>
      <c r="AJ385" s="8">
        <v>1</v>
      </c>
      <c r="AK385" s="8">
        <v>1</v>
      </c>
      <c r="AR385" s="8">
        <v>3050</v>
      </c>
      <c r="AS385" s="8">
        <v>1310</v>
      </c>
      <c r="AT385">
        <v>7730702</v>
      </c>
      <c r="AU385" s="8" t="s">
        <v>66</v>
      </c>
      <c r="AW385" s="8">
        <v>0</v>
      </c>
    </row>
    <row r="386" spans="1:49" x14ac:dyDescent="0.25">
      <c r="A386" t="s">
        <v>1188</v>
      </c>
      <c r="C386" t="s">
        <v>1051</v>
      </c>
      <c r="D386" t="s">
        <v>1033</v>
      </c>
      <c r="E386">
        <v>1</v>
      </c>
      <c r="F386">
        <v>13.6</v>
      </c>
      <c r="G386">
        <v>750</v>
      </c>
      <c r="J386" t="s">
        <v>496</v>
      </c>
      <c r="K386" s="8">
        <v>1</v>
      </c>
      <c r="L386" s="8">
        <v>1</v>
      </c>
      <c r="M386" t="str">
        <f t="shared" si="5"/>
        <v>Stratifie-H3710-Noyer Carini naturel-ST12</v>
      </c>
      <c r="N386" s="8">
        <v>1</v>
      </c>
      <c r="O386" s="8">
        <v>1</v>
      </c>
      <c r="P386" s="8">
        <v>0</v>
      </c>
      <c r="Q386" s="8" t="s">
        <v>1035</v>
      </c>
      <c r="R386" s="8" t="s">
        <v>62</v>
      </c>
      <c r="AB386" t="s">
        <v>497</v>
      </c>
      <c r="AD386" t="s">
        <v>498</v>
      </c>
      <c r="AE386" s="8">
        <v>1</v>
      </c>
      <c r="AF386" s="8">
        <v>0</v>
      </c>
      <c r="AG386" s="8" t="s">
        <v>65</v>
      </c>
      <c r="AH386" s="8">
        <v>1</v>
      </c>
      <c r="AI386" s="8">
        <v>1</v>
      </c>
      <c r="AJ386" s="8">
        <v>1</v>
      </c>
      <c r="AK386" s="8">
        <v>1</v>
      </c>
      <c r="AR386" s="8">
        <v>3050</v>
      </c>
      <c r="AS386" s="8">
        <v>1310</v>
      </c>
      <c r="AT386">
        <v>7730820</v>
      </c>
      <c r="AU386" s="8" t="s">
        <v>66</v>
      </c>
      <c r="AW386" s="8">
        <v>0</v>
      </c>
    </row>
    <row r="387" spans="1:49" x14ac:dyDescent="0.25">
      <c r="A387" t="s">
        <v>1189</v>
      </c>
      <c r="C387" t="s">
        <v>1051</v>
      </c>
      <c r="D387" t="s">
        <v>1033</v>
      </c>
      <c r="E387">
        <v>1</v>
      </c>
      <c r="F387">
        <v>13.6</v>
      </c>
      <c r="G387">
        <v>750</v>
      </c>
      <c r="J387" t="s">
        <v>500</v>
      </c>
      <c r="K387" s="8">
        <v>1</v>
      </c>
      <c r="L387" s="8">
        <v>1</v>
      </c>
      <c r="M387" t="str">
        <f t="shared" si="5"/>
        <v>Stratifie-H3730-Hickory naturel-ST10</v>
      </c>
      <c r="N387" s="8">
        <v>1</v>
      </c>
      <c r="O387" s="8">
        <v>1</v>
      </c>
      <c r="P387" s="8">
        <v>0</v>
      </c>
      <c r="Q387" s="8" t="s">
        <v>1035</v>
      </c>
      <c r="R387" s="8" t="s">
        <v>62</v>
      </c>
      <c r="AB387" t="s">
        <v>501</v>
      </c>
      <c r="AD387" t="s">
        <v>502</v>
      </c>
      <c r="AE387" s="8">
        <v>1</v>
      </c>
      <c r="AF387" s="8">
        <v>0</v>
      </c>
      <c r="AG387" s="8" t="s">
        <v>65</v>
      </c>
      <c r="AH387" s="8">
        <v>1</v>
      </c>
      <c r="AI387" s="8">
        <v>1</v>
      </c>
      <c r="AJ387" s="8">
        <v>1</v>
      </c>
      <c r="AK387" s="8">
        <v>1</v>
      </c>
      <c r="AR387" s="8">
        <v>3050</v>
      </c>
      <c r="AS387" s="8">
        <v>1310</v>
      </c>
      <c r="AT387">
        <v>7730703</v>
      </c>
      <c r="AU387" s="8" t="s">
        <v>66</v>
      </c>
      <c r="AW387" s="8">
        <v>0</v>
      </c>
    </row>
    <row r="388" spans="1:49" x14ac:dyDescent="0.25">
      <c r="A388" t="s">
        <v>1190</v>
      </c>
      <c r="C388" t="s">
        <v>1051</v>
      </c>
      <c r="D388" t="s">
        <v>1033</v>
      </c>
      <c r="E388">
        <v>1</v>
      </c>
      <c r="F388">
        <v>12.27</v>
      </c>
      <c r="G388">
        <v>750</v>
      </c>
      <c r="J388" t="s">
        <v>504</v>
      </c>
      <c r="K388" s="8">
        <v>1</v>
      </c>
      <c r="L388" s="8">
        <v>1</v>
      </c>
      <c r="M388" t="str">
        <f t="shared" si="5"/>
        <v>Stratifie-H3734-Noyer de Bourgogne naturel-ST9</v>
      </c>
      <c r="N388" s="8">
        <v>1</v>
      </c>
      <c r="O388" s="8">
        <v>1</v>
      </c>
      <c r="P388" s="8">
        <v>0</v>
      </c>
      <c r="Q388" s="8" t="s">
        <v>1035</v>
      </c>
      <c r="R388" s="8" t="s">
        <v>62</v>
      </c>
      <c r="AB388" t="s">
        <v>505</v>
      </c>
      <c r="AD388" t="s">
        <v>506</v>
      </c>
      <c r="AE388" s="8">
        <v>1</v>
      </c>
      <c r="AF388" s="8">
        <v>0</v>
      </c>
      <c r="AG388" s="8" t="s">
        <v>65</v>
      </c>
      <c r="AH388" s="8">
        <v>1</v>
      </c>
      <c r="AI388" s="8">
        <v>1</v>
      </c>
      <c r="AJ388" s="8">
        <v>1</v>
      </c>
      <c r="AK388" s="8">
        <v>1</v>
      </c>
      <c r="AR388" s="8">
        <v>3050</v>
      </c>
      <c r="AS388" s="8">
        <v>1310</v>
      </c>
      <c r="AT388">
        <v>7730704</v>
      </c>
      <c r="AU388" s="8" t="s">
        <v>66</v>
      </c>
      <c r="AW388" s="8">
        <v>0</v>
      </c>
    </row>
    <row r="389" spans="1:49" x14ac:dyDescent="0.25">
      <c r="A389" t="s">
        <v>1191</v>
      </c>
      <c r="C389" t="s">
        <v>1051</v>
      </c>
      <c r="D389" t="s">
        <v>1033</v>
      </c>
      <c r="E389">
        <v>1</v>
      </c>
      <c r="F389">
        <v>12.27</v>
      </c>
      <c r="G389">
        <v>750</v>
      </c>
      <c r="J389" t="s">
        <v>508</v>
      </c>
      <c r="K389" s="8">
        <v>1</v>
      </c>
      <c r="L389" s="8">
        <v>1</v>
      </c>
      <c r="M389" t="str">
        <f t="shared" ref="M389:M452" si="6">IF(ISNUMBER(SEARCH("Melamine",A389)),_xlfn.CONCAT(A389," ",D389," mm"),A389)</f>
        <v>Stratifie-H3840-Erable Mandal naturel-ST9</v>
      </c>
      <c r="N389" s="8">
        <v>1</v>
      </c>
      <c r="O389" s="8">
        <v>1</v>
      </c>
      <c r="P389" s="8">
        <v>0</v>
      </c>
      <c r="Q389" s="8" t="s">
        <v>1035</v>
      </c>
      <c r="R389" s="8" t="s">
        <v>62</v>
      </c>
      <c r="AB389" t="s">
        <v>509</v>
      </c>
      <c r="AD389" t="s">
        <v>510</v>
      </c>
      <c r="AE389" s="8">
        <v>1</v>
      </c>
      <c r="AF389" s="8">
        <v>0</v>
      </c>
      <c r="AG389" s="8" t="s">
        <v>65</v>
      </c>
      <c r="AH389" s="8">
        <v>1</v>
      </c>
      <c r="AI389" s="8">
        <v>1</v>
      </c>
      <c r="AJ389" s="8">
        <v>1</v>
      </c>
      <c r="AK389" s="8">
        <v>1</v>
      </c>
      <c r="AR389" s="8">
        <v>3050</v>
      </c>
      <c r="AS389" s="8">
        <v>1310</v>
      </c>
      <c r="AT389">
        <v>7730705</v>
      </c>
      <c r="AU389" s="8" t="s">
        <v>66</v>
      </c>
      <c r="AW389" s="8">
        <v>0</v>
      </c>
    </row>
    <row r="390" spans="1:49" x14ac:dyDescent="0.25">
      <c r="A390" t="s">
        <v>1192</v>
      </c>
      <c r="C390" t="s">
        <v>1051</v>
      </c>
      <c r="D390" t="s">
        <v>1033</v>
      </c>
      <c r="E390">
        <v>1</v>
      </c>
      <c r="F390">
        <v>13.6</v>
      </c>
      <c r="G390">
        <v>750</v>
      </c>
      <c r="J390" t="s">
        <v>512</v>
      </c>
      <c r="K390" s="8">
        <v>1</v>
      </c>
      <c r="L390" s="8">
        <v>1</v>
      </c>
      <c r="M390" t="str">
        <f t="shared" si="6"/>
        <v>Stratifie-H3860-Erable americain champagne-ST9</v>
      </c>
      <c r="N390" s="8">
        <v>1</v>
      </c>
      <c r="O390" s="8">
        <v>1</v>
      </c>
      <c r="P390" s="8">
        <v>0</v>
      </c>
      <c r="Q390" s="8" t="s">
        <v>1035</v>
      </c>
      <c r="R390" s="8" t="s">
        <v>62</v>
      </c>
      <c r="AB390" t="s">
        <v>513</v>
      </c>
      <c r="AD390" t="s">
        <v>514</v>
      </c>
      <c r="AE390" s="8">
        <v>1</v>
      </c>
      <c r="AF390" s="8">
        <v>0</v>
      </c>
      <c r="AG390" s="8" t="s">
        <v>65</v>
      </c>
      <c r="AH390" s="8">
        <v>1</v>
      </c>
      <c r="AI390" s="8">
        <v>1</v>
      </c>
      <c r="AJ390" s="8">
        <v>1</v>
      </c>
      <c r="AK390" s="8">
        <v>1</v>
      </c>
      <c r="AR390" s="8">
        <v>3050</v>
      </c>
      <c r="AS390" s="8">
        <v>1310</v>
      </c>
      <c r="AT390">
        <v>7730706</v>
      </c>
      <c r="AU390" s="8" t="s">
        <v>66</v>
      </c>
      <c r="AW390" s="8">
        <v>0</v>
      </c>
    </row>
    <row r="391" spans="1:49" x14ac:dyDescent="0.25">
      <c r="A391" t="s">
        <v>1193</v>
      </c>
      <c r="C391" t="s">
        <v>1051</v>
      </c>
      <c r="D391" t="s">
        <v>1033</v>
      </c>
      <c r="E391">
        <v>0</v>
      </c>
      <c r="F391">
        <v>12.27</v>
      </c>
      <c r="G391">
        <v>750</v>
      </c>
      <c r="J391" t="s">
        <v>516</v>
      </c>
      <c r="K391" s="8">
        <v>1</v>
      </c>
      <c r="L391" s="8">
        <v>1</v>
      </c>
      <c r="M391" t="str">
        <f t="shared" si="6"/>
        <v>Stratifie-U104-Blanc albatre-ST9</v>
      </c>
      <c r="N391" s="8">
        <v>0</v>
      </c>
      <c r="O391" s="8">
        <v>1</v>
      </c>
      <c r="P391" s="8">
        <v>0</v>
      </c>
      <c r="Q391" s="8" t="s">
        <v>1035</v>
      </c>
      <c r="R391" s="8" t="s">
        <v>62</v>
      </c>
      <c r="AB391" t="s">
        <v>517</v>
      </c>
      <c r="AD391" t="s">
        <v>518</v>
      </c>
      <c r="AE391" s="8">
        <v>1</v>
      </c>
      <c r="AF391" s="8">
        <v>0</v>
      </c>
      <c r="AG391" s="8" t="s">
        <v>65</v>
      </c>
      <c r="AH391" s="8">
        <v>1</v>
      </c>
      <c r="AI391" s="8">
        <v>1</v>
      </c>
      <c r="AJ391" s="8">
        <v>1</v>
      </c>
      <c r="AK391" s="8">
        <v>1</v>
      </c>
      <c r="AR391" s="8">
        <v>3050</v>
      </c>
      <c r="AS391" s="8">
        <v>1310</v>
      </c>
      <c r="AT391">
        <v>7730707</v>
      </c>
      <c r="AU391" s="8" t="s">
        <v>66</v>
      </c>
      <c r="AW391" s="8">
        <v>0</v>
      </c>
    </row>
    <row r="392" spans="1:49" x14ac:dyDescent="0.25">
      <c r="A392" t="s">
        <v>1194</v>
      </c>
      <c r="C392" t="s">
        <v>1051</v>
      </c>
      <c r="D392" t="s">
        <v>1033</v>
      </c>
      <c r="E392">
        <v>0</v>
      </c>
      <c r="F392">
        <v>12.27</v>
      </c>
      <c r="G392">
        <v>750</v>
      </c>
      <c r="J392" t="s">
        <v>520</v>
      </c>
      <c r="K392" s="8">
        <v>1</v>
      </c>
      <c r="L392" s="8">
        <v>1</v>
      </c>
      <c r="M392" t="str">
        <f t="shared" si="6"/>
        <v>Stratifie-U113-Beige sable-ST9</v>
      </c>
      <c r="N392" s="8">
        <v>0</v>
      </c>
      <c r="O392" s="8">
        <v>1</v>
      </c>
      <c r="P392" s="8">
        <v>0</v>
      </c>
      <c r="Q392" s="8" t="s">
        <v>1035</v>
      </c>
      <c r="R392" s="8" t="s">
        <v>62</v>
      </c>
      <c r="AB392" t="s">
        <v>521</v>
      </c>
      <c r="AD392" t="s">
        <v>522</v>
      </c>
      <c r="AE392" s="8">
        <v>1</v>
      </c>
      <c r="AF392" s="8">
        <v>0</v>
      </c>
      <c r="AG392" s="8" t="s">
        <v>65</v>
      </c>
      <c r="AH392" s="8">
        <v>1</v>
      </c>
      <c r="AI392" s="8">
        <v>1</v>
      </c>
      <c r="AJ392" s="8">
        <v>1</v>
      </c>
      <c r="AK392" s="8">
        <v>1</v>
      </c>
      <c r="AR392" s="8">
        <v>3050</v>
      </c>
      <c r="AS392" s="8">
        <v>1310</v>
      </c>
      <c r="AT392">
        <v>7730710</v>
      </c>
      <c r="AU392" s="8" t="s">
        <v>66</v>
      </c>
      <c r="AW392" s="8">
        <v>0</v>
      </c>
    </row>
    <row r="393" spans="1:49" x14ac:dyDescent="0.25">
      <c r="A393" t="s">
        <v>1195</v>
      </c>
      <c r="C393" t="s">
        <v>1051</v>
      </c>
      <c r="D393" t="s">
        <v>1033</v>
      </c>
      <c r="E393">
        <v>0</v>
      </c>
      <c r="F393">
        <v>13.6</v>
      </c>
      <c r="G393">
        <v>750</v>
      </c>
      <c r="J393" t="s">
        <v>524</v>
      </c>
      <c r="K393" s="8">
        <v>1</v>
      </c>
      <c r="L393" s="8">
        <v>1</v>
      </c>
      <c r="M393" t="str">
        <f t="shared" si="6"/>
        <v>Stratifie-U114-Jaune tournesol-ST9</v>
      </c>
      <c r="N393" s="8">
        <v>0</v>
      </c>
      <c r="O393" s="8">
        <v>1</v>
      </c>
      <c r="P393" s="8">
        <v>0</v>
      </c>
      <c r="Q393" s="8" t="s">
        <v>1035</v>
      </c>
      <c r="R393" s="8" t="s">
        <v>62</v>
      </c>
      <c r="AB393" t="s">
        <v>525</v>
      </c>
      <c r="AD393" t="s">
        <v>526</v>
      </c>
      <c r="AE393" s="8">
        <v>1</v>
      </c>
      <c r="AF393" s="8">
        <v>0</v>
      </c>
      <c r="AG393" s="8" t="s">
        <v>65</v>
      </c>
      <c r="AH393" s="8">
        <v>1</v>
      </c>
      <c r="AI393" s="8">
        <v>1</v>
      </c>
      <c r="AJ393" s="8">
        <v>1</v>
      </c>
      <c r="AK393" s="8">
        <v>1</v>
      </c>
      <c r="AR393" s="8">
        <v>3050</v>
      </c>
      <c r="AS393" s="8">
        <v>1310</v>
      </c>
      <c r="AT393">
        <v>7730711</v>
      </c>
      <c r="AU393" s="8" t="s">
        <v>66</v>
      </c>
      <c r="AW393" s="8">
        <v>0</v>
      </c>
    </row>
    <row r="394" spans="1:49" x14ac:dyDescent="0.25">
      <c r="A394" t="s">
        <v>1196</v>
      </c>
      <c r="C394" t="s">
        <v>1051</v>
      </c>
      <c r="D394" t="s">
        <v>1033</v>
      </c>
      <c r="E394">
        <v>0</v>
      </c>
      <c r="F394">
        <v>13.38</v>
      </c>
      <c r="G394">
        <v>750</v>
      </c>
      <c r="J394" t="s">
        <v>528</v>
      </c>
      <c r="K394" s="8">
        <v>1</v>
      </c>
      <c r="L394" s="8">
        <v>1</v>
      </c>
      <c r="M394" t="str">
        <f t="shared" si="6"/>
        <v>Stratifie-U115-Beige carat-ST9</v>
      </c>
      <c r="N394" s="8">
        <v>0</v>
      </c>
      <c r="O394" s="8">
        <v>1</v>
      </c>
      <c r="P394" s="8">
        <v>0</v>
      </c>
      <c r="Q394" s="8" t="s">
        <v>1035</v>
      </c>
      <c r="R394" s="8" t="s">
        <v>62</v>
      </c>
      <c r="AB394" t="s">
        <v>529</v>
      </c>
      <c r="AD394" t="s">
        <v>530</v>
      </c>
      <c r="AE394" s="8">
        <v>1</v>
      </c>
      <c r="AF394" s="8">
        <v>0</v>
      </c>
      <c r="AG394" s="8" t="s">
        <v>65</v>
      </c>
      <c r="AH394" s="8">
        <v>1</v>
      </c>
      <c r="AI394" s="8">
        <v>1</v>
      </c>
      <c r="AJ394" s="8">
        <v>1</v>
      </c>
      <c r="AK394" s="8">
        <v>1</v>
      </c>
      <c r="AR394" s="8">
        <v>3050</v>
      </c>
      <c r="AS394" s="8">
        <v>1310</v>
      </c>
      <c r="AT394">
        <v>7674472</v>
      </c>
      <c r="AU394" s="8" t="s">
        <v>66</v>
      </c>
      <c r="AW394" s="8">
        <v>0</v>
      </c>
    </row>
    <row r="395" spans="1:49" x14ac:dyDescent="0.25">
      <c r="A395" t="s">
        <v>1197</v>
      </c>
      <c r="C395" t="s">
        <v>1051</v>
      </c>
      <c r="D395" t="s">
        <v>1033</v>
      </c>
      <c r="E395">
        <v>0</v>
      </c>
      <c r="F395">
        <v>13.6</v>
      </c>
      <c r="G395">
        <v>750</v>
      </c>
      <c r="J395" t="s">
        <v>532</v>
      </c>
      <c r="K395" s="8">
        <v>1</v>
      </c>
      <c r="L395" s="8">
        <v>1</v>
      </c>
      <c r="M395" t="str">
        <f t="shared" si="6"/>
        <v>Stratifie-U125-Jaune sable-ST9</v>
      </c>
      <c r="N395" s="8">
        <v>0</v>
      </c>
      <c r="O395" s="8">
        <v>1</v>
      </c>
      <c r="P395" s="8">
        <v>0</v>
      </c>
      <c r="Q395" s="8" t="s">
        <v>1035</v>
      </c>
      <c r="R395" s="8" t="s">
        <v>62</v>
      </c>
      <c r="AB395" t="s">
        <v>533</v>
      </c>
      <c r="AD395" t="s">
        <v>534</v>
      </c>
      <c r="AE395" s="8">
        <v>1</v>
      </c>
      <c r="AF395" s="8">
        <v>0</v>
      </c>
      <c r="AG395" s="8" t="s">
        <v>65</v>
      </c>
      <c r="AH395" s="8">
        <v>1</v>
      </c>
      <c r="AI395" s="8">
        <v>1</v>
      </c>
      <c r="AJ395" s="8">
        <v>1</v>
      </c>
      <c r="AK395" s="8">
        <v>1</v>
      </c>
      <c r="AR395" s="8">
        <v>3050</v>
      </c>
      <c r="AS395" s="8">
        <v>1310</v>
      </c>
      <c r="AT395">
        <v>4766548</v>
      </c>
      <c r="AU395" s="8" t="s">
        <v>66</v>
      </c>
      <c r="AW395" s="8">
        <v>0</v>
      </c>
    </row>
    <row r="396" spans="1:49" x14ac:dyDescent="0.25">
      <c r="A396" t="s">
        <v>1198</v>
      </c>
      <c r="C396" t="s">
        <v>1051</v>
      </c>
      <c r="D396" t="s">
        <v>1033</v>
      </c>
      <c r="E396">
        <v>0</v>
      </c>
      <c r="F396">
        <v>13.6</v>
      </c>
      <c r="G396">
        <v>750</v>
      </c>
      <c r="J396" t="s">
        <v>536</v>
      </c>
      <c r="K396" s="8">
        <v>1</v>
      </c>
      <c r="L396" s="8">
        <v>1</v>
      </c>
      <c r="M396" t="str">
        <f t="shared" si="6"/>
        <v>Stratifie-U131-Jaune citron-ST9</v>
      </c>
      <c r="N396" s="8">
        <v>0</v>
      </c>
      <c r="O396" s="8">
        <v>1</v>
      </c>
      <c r="P396" s="8">
        <v>0</v>
      </c>
      <c r="Q396" s="8" t="s">
        <v>1035</v>
      </c>
      <c r="R396" s="8" t="s">
        <v>62</v>
      </c>
      <c r="AB396" t="s">
        <v>537</v>
      </c>
      <c r="AD396" t="s">
        <v>538</v>
      </c>
      <c r="AE396" s="8">
        <v>1</v>
      </c>
      <c r="AF396" s="8">
        <v>0</v>
      </c>
      <c r="AG396" s="8" t="s">
        <v>65</v>
      </c>
      <c r="AH396" s="8">
        <v>1</v>
      </c>
      <c r="AI396" s="8">
        <v>1</v>
      </c>
      <c r="AJ396" s="8">
        <v>1</v>
      </c>
      <c r="AK396" s="8">
        <v>1</v>
      </c>
      <c r="AR396" s="8">
        <v>3050</v>
      </c>
      <c r="AS396" s="8">
        <v>1310</v>
      </c>
      <c r="AT396">
        <v>7730712</v>
      </c>
      <c r="AU396" s="8" t="s">
        <v>66</v>
      </c>
      <c r="AW396" s="8">
        <v>0</v>
      </c>
    </row>
    <row r="397" spans="1:49" x14ac:dyDescent="0.25">
      <c r="A397" t="s">
        <v>1199</v>
      </c>
      <c r="C397" t="s">
        <v>1051</v>
      </c>
      <c r="D397" t="s">
        <v>1033</v>
      </c>
      <c r="E397">
        <v>0</v>
      </c>
      <c r="F397">
        <v>12.27</v>
      </c>
      <c r="G397">
        <v>750</v>
      </c>
      <c r="J397" t="s">
        <v>540</v>
      </c>
      <c r="K397" s="8">
        <v>1</v>
      </c>
      <c r="L397" s="8">
        <v>1</v>
      </c>
      <c r="M397" t="str">
        <f t="shared" si="6"/>
        <v>Stratifie-U156-Beige rose-ST9</v>
      </c>
      <c r="N397" s="8">
        <v>0</v>
      </c>
      <c r="O397" s="8">
        <v>1</v>
      </c>
      <c r="P397" s="8">
        <v>0</v>
      </c>
      <c r="Q397" s="8" t="s">
        <v>1035</v>
      </c>
      <c r="R397" s="8" t="s">
        <v>62</v>
      </c>
      <c r="AB397" t="s">
        <v>541</v>
      </c>
      <c r="AD397" t="s">
        <v>542</v>
      </c>
      <c r="AE397" s="8">
        <v>1</v>
      </c>
      <c r="AF397" s="8">
        <v>0</v>
      </c>
      <c r="AG397" s="8" t="s">
        <v>65</v>
      </c>
      <c r="AH397" s="8">
        <v>1</v>
      </c>
      <c r="AI397" s="8">
        <v>1</v>
      </c>
      <c r="AJ397" s="8">
        <v>1</v>
      </c>
      <c r="AK397" s="8">
        <v>1</v>
      </c>
      <c r="AR397" s="8">
        <v>3050</v>
      </c>
      <c r="AS397" s="8">
        <v>1310</v>
      </c>
      <c r="AT397">
        <v>7730715</v>
      </c>
      <c r="AU397" s="8" t="s">
        <v>66</v>
      </c>
      <c r="AW397" s="8">
        <v>0</v>
      </c>
    </row>
    <row r="398" spans="1:49" x14ac:dyDescent="0.25">
      <c r="A398" t="s">
        <v>1200</v>
      </c>
      <c r="C398" t="s">
        <v>1051</v>
      </c>
      <c r="D398" t="s">
        <v>1033</v>
      </c>
      <c r="E398">
        <v>0</v>
      </c>
      <c r="F398">
        <v>13.6</v>
      </c>
      <c r="G398">
        <v>750</v>
      </c>
      <c r="J398" t="s">
        <v>544</v>
      </c>
      <c r="K398" s="8">
        <v>1</v>
      </c>
      <c r="L398" s="8">
        <v>1</v>
      </c>
      <c r="M398" t="str">
        <f t="shared" si="6"/>
        <v>Stratifie-U163-Jaune curry-ST9</v>
      </c>
      <c r="N398" s="8">
        <v>0</v>
      </c>
      <c r="O398" s="8">
        <v>1</v>
      </c>
      <c r="P398" s="8">
        <v>0</v>
      </c>
      <c r="Q398" s="8" t="s">
        <v>1035</v>
      </c>
      <c r="R398" s="8" t="s">
        <v>62</v>
      </c>
      <c r="AB398" t="s">
        <v>545</v>
      </c>
      <c r="AD398" t="s">
        <v>546</v>
      </c>
      <c r="AE398" s="8">
        <v>1</v>
      </c>
      <c r="AF398" s="8">
        <v>0</v>
      </c>
      <c r="AG398" s="8" t="s">
        <v>65</v>
      </c>
      <c r="AH398" s="8">
        <v>1</v>
      </c>
      <c r="AI398" s="8">
        <v>1</v>
      </c>
      <c r="AJ398" s="8">
        <v>1</v>
      </c>
      <c r="AK398" s="8">
        <v>1</v>
      </c>
      <c r="AR398" s="8">
        <v>3050</v>
      </c>
      <c r="AS398" s="8">
        <v>1310</v>
      </c>
      <c r="AT398">
        <v>7730716</v>
      </c>
      <c r="AU398" s="8" t="s">
        <v>66</v>
      </c>
      <c r="AW398" s="8">
        <v>0</v>
      </c>
    </row>
    <row r="399" spans="1:49" x14ac:dyDescent="0.25">
      <c r="A399" t="s">
        <v>1201</v>
      </c>
      <c r="C399" t="s">
        <v>1051</v>
      </c>
      <c r="D399" t="s">
        <v>1033</v>
      </c>
      <c r="E399">
        <v>0</v>
      </c>
      <c r="F399">
        <v>17.38</v>
      </c>
      <c r="G399">
        <v>750</v>
      </c>
      <c r="J399" t="s">
        <v>548</v>
      </c>
      <c r="K399" s="8">
        <v>1</v>
      </c>
      <c r="L399" s="8">
        <v>1</v>
      </c>
      <c r="M399" t="str">
        <f t="shared" si="6"/>
        <v>Stratifie-U201-Gris galet-ST9</v>
      </c>
      <c r="N399" s="8">
        <v>0</v>
      </c>
      <c r="O399" s="8">
        <v>1</v>
      </c>
      <c r="P399" s="8">
        <v>0</v>
      </c>
      <c r="Q399" s="8" t="s">
        <v>1035</v>
      </c>
      <c r="R399" s="8" t="s">
        <v>62</v>
      </c>
      <c r="AB399" t="s">
        <v>549</v>
      </c>
      <c r="AD399" t="s">
        <v>550</v>
      </c>
      <c r="AE399" s="8">
        <v>1</v>
      </c>
      <c r="AF399" s="8">
        <v>0</v>
      </c>
      <c r="AG399" s="8" t="s">
        <v>65</v>
      </c>
      <c r="AH399" s="8">
        <v>1</v>
      </c>
      <c r="AI399" s="8">
        <v>1</v>
      </c>
      <c r="AJ399" s="8">
        <v>1</v>
      </c>
      <c r="AK399" s="8">
        <v>1</v>
      </c>
      <c r="AR399" s="8">
        <v>3050</v>
      </c>
      <c r="AS399" s="8">
        <v>1310</v>
      </c>
      <c r="AT399">
        <v>7795290</v>
      </c>
      <c r="AU399" s="8" t="s">
        <v>66</v>
      </c>
      <c r="AW399" s="8">
        <v>0</v>
      </c>
    </row>
    <row r="400" spans="1:49" x14ac:dyDescent="0.25">
      <c r="A400" t="s">
        <v>1202</v>
      </c>
      <c r="C400" t="s">
        <v>1051</v>
      </c>
      <c r="D400" t="s">
        <v>1033</v>
      </c>
      <c r="E400">
        <v>0</v>
      </c>
      <c r="F400">
        <v>13.6</v>
      </c>
      <c r="G400">
        <v>750</v>
      </c>
      <c r="J400" t="s">
        <v>552</v>
      </c>
      <c r="K400" s="8">
        <v>1</v>
      </c>
      <c r="L400" s="8">
        <v>1</v>
      </c>
      <c r="M400" t="str">
        <f t="shared" si="6"/>
        <v>Stratifie-U211-Beige amande-ST9</v>
      </c>
      <c r="N400" s="8">
        <v>0</v>
      </c>
      <c r="O400" s="8">
        <v>1</v>
      </c>
      <c r="P400" s="8">
        <v>0</v>
      </c>
      <c r="Q400" s="8" t="s">
        <v>1035</v>
      </c>
      <c r="R400" s="8" t="s">
        <v>62</v>
      </c>
      <c r="AB400" t="s">
        <v>553</v>
      </c>
      <c r="AD400" t="s">
        <v>554</v>
      </c>
      <c r="AE400" s="8">
        <v>1</v>
      </c>
      <c r="AF400" s="8">
        <v>0</v>
      </c>
      <c r="AG400" s="8" t="s">
        <v>65</v>
      </c>
      <c r="AH400" s="8">
        <v>1</v>
      </c>
      <c r="AI400" s="8">
        <v>1</v>
      </c>
      <c r="AJ400" s="8">
        <v>1</v>
      </c>
      <c r="AK400" s="8">
        <v>1</v>
      </c>
      <c r="AR400" s="8">
        <v>3050</v>
      </c>
      <c r="AS400" s="8">
        <v>1310</v>
      </c>
      <c r="AT400">
        <v>4766549</v>
      </c>
      <c r="AU400" s="8" t="s">
        <v>66</v>
      </c>
      <c r="AW400" s="8">
        <v>0</v>
      </c>
    </row>
    <row r="401" spans="1:49" x14ac:dyDescent="0.25">
      <c r="A401" t="s">
        <v>1203</v>
      </c>
      <c r="C401" t="s">
        <v>1051</v>
      </c>
      <c r="D401" t="s">
        <v>1033</v>
      </c>
      <c r="E401">
        <v>0</v>
      </c>
      <c r="F401">
        <v>17.38</v>
      </c>
      <c r="G401">
        <v>750</v>
      </c>
      <c r="J401" t="s">
        <v>556</v>
      </c>
      <c r="K401" s="8">
        <v>1</v>
      </c>
      <c r="L401" s="8">
        <v>1</v>
      </c>
      <c r="M401" t="str">
        <f t="shared" si="6"/>
        <v>Stratifie-U216-Blanc casse-ST9</v>
      </c>
      <c r="N401" s="8">
        <v>0</v>
      </c>
      <c r="O401" s="8">
        <v>1</v>
      </c>
      <c r="P401" s="8">
        <v>0</v>
      </c>
      <c r="Q401" s="8" t="s">
        <v>1035</v>
      </c>
      <c r="R401" s="8" t="s">
        <v>62</v>
      </c>
      <c r="AB401" t="s">
        <v>557</v>
      </c>
      <c r="AD401" t="s">
        <v>558</v>
      </c>
      <c r="AE401" s="8">
        <v>1</v>
      </c>
      <c r="AF401" s="8">
        <v>0</v>
      </c>
      <c r="AG401" s="8" t="s">
        <v>65</v>
      </c>
      <c r="AH401" s="8">
        <v>1</v>
      </c>
      <c r="AI401" s="8">
        <v>1</v>
      </c>
      <c r="AJ401" s="8">
        <v>1</v>
      </c>
      <c r="AK401" s="8">
        <v>1</v>
      </c>
      <c r="AR401" s="8">
        <v>3050</v>
      </c>
      <c r="AS401" s="8">
        <v>1310</v>
      </c>
      <c r="AT401">
        <v>7795291</v>
      </c>
      <c r="AU401" s="8" t="s">
        <v>66</v>
      </c>
      <c r="AW401" s="8">
        <v>0</v>
      </c>
    </row>
    <row r="402" spans="1:49" x14ac:dyDescent="0.25">
      <c r="A402" t="s">
        <v>1204</v>
      </c>
      <c r="C402" t="s">
        <v>1051</v>
      </c>
      <c r="D402" t="s">
        <v>1033</v>
      </c>
      <c r="E402">
        <v>0</v>
      </c>
      <c r="F402">
        <v>13.38</v>
      </c>
      <c r="G402">
        <v>750</v>
      </c>
      <c r="J402" t="s">
        <v>560</v>
      </c>
      <c r="K402" s="8">
        <v>1</v>
      </c>
      <c r="L402" s="8">
        <v>1</v>
      </c>
      <c r="M402" t="str">
        <f t="shared" si="6"/>
        <v>Stratifie-U222-Blanc ecru-ST9</v>
      </c>
      <c r="N402" s="8">
        <v>0</v>
      </c>
      <c r="O402" s="8">
        <v>1</v>
      </c>
      <c r="P402" s="8">
        <v>0</v>
      </c>
      <c r="Q402" s="8" t="s">
        <v>1035</v>
      </c>
      <c r="R402" s="8" t="s">
        <v>62</v>
      </c>
      <c r="AB402" t="s">
        <v>561</v>
      </c>
      <c r="AD402" t="s">
        <v>562</v>
      </c>
      <c r="AE402" s="8">
        <v>1</v>
      </c>
      <c r="AF402" s="8">
        <v>0</v>
      </c>
      <c r="AG402" s="8" t="s">
        <v>65</v>
      </c>
      <c r="AH402" s="8">
        <v>1</v>
      </c>
      <c r="AI402" s="8">
        <v>1</v>
      </c>
      <c r="AJ402" s="8">
        <v>1</v>
      </c>
      <c r="AK402" s="8">
        <v>1</v>
      </c>
      <c r="AR402" s="8">
        <v>3050</v>
      </c>
      <c r="AS402" s="8">
        <v>1310</v>
      </c>
      <c r="AT402">
        <v>6766864</v>
      </c>
      <c r="AU402" s="8" t="s">
        <v>66</v>
      </c>
      <c r="AW402" s="8">
        <v>0</v>
      </c>
    </row>
    <row r="403" spans="1:49" x14ac:dyDescent="0.25">
      <c r="A403" t="s">
        <v>1205</v>
      </c>
      <c r="C403" t="s">
        <v>1051</v>
      </c>
      <c r="D403" t="s">
        <v>1033</v>
      </c>
      <c r="E403">
        <v>0</v>
      </c>
      <c r="F403">
        <v>13.6</v>
      </c>
      <c r="G403">
        <v>750</v>
      </c>
      <c r="J403" t="s">
        <v>564</v>
      </c>
      <c r="K403" s="8">
        <v>1</v>
      </c>
      <c r="L403" s="8">
        <v>1</v>
      </c>
      <c r="M403" t="str">
        <f t="shared" si="6"/>
        <v>Stratifie-U232-Nude abricot-ST9</v>
      </c>
      <c r="N403" s="8">
        <v>0</v>
      </c>
      <c r="O403" s="8">
        <v>1</v>
      </c>
      <c r="P403" s="8">
        <v>0</v>
      </c>
      <c r="Q403" s="8" t="s">
        <v>1035</v>
      </c>
      <c r="R403" s="8" t="s">
        <v>62</v>
      </c>
      <c r="AB403" t="s">
        <v>565</v>
      </c>
      <c r="AD403" t="s">
        <v>566</v>
      </c>
      <c r="AE403" s="8">
        <v>1</v>
      </c>
      <c r="AF403" s="8">
        <v>0</v>
      </c>
      <c r="AG403" s="8" t="s">
        <v>65</v>
      </c>
      <c r="AH403" s="8">
        <v>1</v>
      </c>
      <c r="AI403" s="8">
        <v>1</v>
      </c>
      <c r="AJ403" s="8">
        <v>1</v>
      </c>
      <c r="AK403" s="8">
        <v>1</v>
      </c>
      <c r="AR403" s="8">
        <v>3050</v>
      </c>
      <c r="AS403" s="8">
        <v>1310</v>
      </c>
      <c r="AT403">
        <v>7795225</v>
      </c>
      <c r="AU403" s="8" t="s">
        <v>66</v>
      </c>
      <c r="AW403" s="8">
        <v>0</v>
      </c>
    </row>
    <row r="404" spans="1:49" x14ac:dyDescent="0.25">
      <c r="A404" t="s">
        <v>1206</v>
      </c>
      <c r="C404" t="s">
        <v>1051</v>
      </c>
      <c r="D404" t="s">
        <v>1033</v>
      </c>
      <c r="E404">
        <v>0</v>
      </c>
      <c r="F404">
        <v>13.6</v>
      </c>
      <c r="G404">
        <v>750</v>
      </c>
      <c r="J404" t="s">
        <v>568</v>
      </c>
      <c r="K404" s="8">
        <v>1</v>
      </c>
      <c r="L404" s="8">
        <v>1</v>
      </c>
      <c r="M404" t="str">
        <f t="shared" si="6"/>
        <v>Stratifie-U311-Rouge bordeaux-ST9</v>
      </c>
      <c r="N404" s="8">
        <v>0</v>
      </c>
      <c r="O404" s="8">
        <v>1</v>
      </c>
      <c r="P404" s="8">
        <v>0</v>
      </c>
      <c r="Q404" s="8" t="s">
        <v>1035</v>
      </c>
      <c r="R404" s="8" t="s">
        <v>62</v>
      </c>
      <c r="AB404" t="s">
        <v>569</v>
      </c>
      <c r="AD404" t="s">
        <v>570</v>
      </c>
      <c r="AE404" s="8">
        <v>1</v>
      </c>
      <c r="AF404" s="8">
        <v>0</v>
      </c>
      <c r="AG404" s="8" t="s">
        <v>65</v>
      </c>
      <c r="AH404" s="8">
        <v>1</v>
      </c>
      <c r="AI404" s="8">
        <v>1</v>
      </c>
      <c r="AJ404" s="8">
        <v>1</v>
      </c>
      <c r="AK404" s="8">
        <v>1</v>
      </c>
      <c r="AR404" s="8">
        <v>3050</v>
      </c>
      <c r="AS404" s="8">
        <v>1310</v>
      </c>
      <c r="AT404">
        <v>7730721</v>
      </c>
      <c r="AU404" s="8" t="s">
        <v>66</v>
      </c>
      <c r="AW404" s="8">
        <v>0</v>
      </c>
    </row>
    <row r="405" spans="1:49" x14ac:dyDescent="0.25">
      <c r="A405" t="s">
        <v>1207</v>
      </c>
      <c r="C405" t="s">
        <v>1051</v>
      </c>
      <c r="D405" t="s">
        <v>1033</v>
      </c>
      <c r="E405">
        <v>0</v>
      </c>
      <c r="F405">
        <v>13.6</v>
      </c>
      <c r="G405">
        <v>750</v>
      </c>
      <c r="J405" t="s">
        <v>572</v>
      </c>
      <c r="K405" s="8">
        <v>1</v>
      </c>
      <c r="L405" s="8">
        <v>1</v>
      </c>
      <c r="M405" t="str">
        <f t="shared" si="6"/>
        <v>Stratifie-U321-Rouge-ST9</v>
      </c>
      <c r="N405" s="8">
        <v>0</v>
      </c>
      <c r="O405" s="8">
        <v>1</v>
      </c>
      <c r="P405" s="8">
        <v>0</v>
      </c>
      <c r="Q405" s="8" t="s">
        <v>1035</v>
      </c>
      <c r="R405" s="8" t="s">
        <v>62</v>
      </c>
      <c r="AB405" t="s">
        <v>573</v>
      </c>
      <c r="AD405" t="s">
        <v>574</v>
      </c>
      <c r="AE405" s="8">
        <v>1</v>
      </c>
      <c r="AF405" s="8">
        <v>0</v>
      </c>
      <c r="AG405" s="8" t="s">
        <v>65</v>
      </c>
      <c r="AH405" s="8">
        <v>1</v>
      </c>
      <c r="AI405" s="8">
        <v>1</v>
      </c>
      <c r="AJ405" s="8">
        <v>1</v>
      </c>
      <c r="AK405" s="8">
        <v>1</v>
      </c>
      <c r="AR405" s="8">
        <v>3050</v>
      </c>
      <c r="AS405" s="8">
        <v>1310</v>
      </c>
      <c r="AT405">
        <v>7730723</v>
      </c>
      <c r="AU405" s="8" t="s">
        <v>66</v>
      </c>
      <c r="AW405" s="8">
        <v>0</v>
      </c>
    </row>
    <row r="406" spans="1:49" x14ac:dyDescent="0.25">
      <c r="A406" t="s">
        <v>1208</v>
      </c>
      <c r="C406" t="s">
        <v>1051</v>
      </c>
      <c r="D406" t="s">
        <v>1033</v>
      </c>
      <c r="E406">
        <v>0</v>
      </c>
      <c r="F406">
        <v>20.36</v>
      </c>
      <c r="G406">
        <v>750</v>
      </c>
      <c r="J406" t="s">
        <v>576</v>
      </c>
      <c r="K406" s="8">
        <v>1</v>
      </c>
      <c r="L406" s="8">
        <v>1</v>
      </c>
      <c r="M406" t="str">
        <f t="shared" si="6"/>
        <v>Stratifie-U323-Rouge cerise-ST9</v>
      </c>
      <c r="N406" s="8">
        <v>0</v>
      </c>
      <c r="O406" s="8">
        <v>1</v>
      </c>
      <c r="P406" s="8">
        <v>0</v>
      </c>
      <c r="Q406" s="8" t="s">
        <v>1035</v>
      </c>
      <c r="R406" s="8" t="s">
        <v>62</v>
      </c>
      <c r="AB406" t="s">
        <v>577</v>
      </c>
      <c r="AD406" t="s">
        <v>578</v>
      </c>
      <c r="AE406" s="8">
        <v>1</v>
      </c>
      <c r="AF406" s="8">
        <v>0</v>
      </c>
      <c r="AG406" s="8" t="s">
        <v>65</v>
      </c>
      <c r="AH406" s="8">
        <v>1</v>
      </c>
      <c r="AI406" s="8">
        <v>1</v>
      </c>
      <c r="AJ406" s="8">
        <v>1</v>
      </c>
      <c r="AK406" s="8">
        <v>1</v>
      </c>
      <c r="AR406" s="8">
        <v>3050</v>
      </c>
      <c r="AS406" s="8">
        <v>1310</v>
      </c>
      <c r="AT406">
        <v>7795294</v>
      </c>
      <c r="AU406" s="8" t="s">
        <v>66</v>
      </c>
      <c r="AW406" s="8">
        <v>0</v>
      </c>
    </row>
    <row r="407" spans="1:49" x14ac:dyDescent="0.25">
      <c r="A407" t="s">
        <v>1209</v>
      </c>
      <c r="C407" t="s">
        <v>1051</v>
      </c>
      <c r="D407" t="s">
        <v>1033</v>
      </c>
      <c r="E407">
        <v>0</v>
      </c>
      <c r="F407">
        <v>13.6</v>
      </c>
      <c r="G407">
        <v>750</v>
      </c>
      <c r="J407" t="s">
        <v>580</v>
      </c>
      <c r="K407" s="8">
        <v>1</v>
      </c>
      <c r="L407" s="8">
        <v>1</v>
      </c>
      <c r="M407" t="str">
        <f t="shared" si="6"/>
        <v>Stratifie-U325-Rose antique-ST9</v>
      </c>
      <c r="N407" s="8">
        <v>0</v>
      </c>
      <c r="O407" s="8">
        <v>1</v>
      </c>
      <c r="P407" s="8">
        <v>0</v>
      </c>
      <c r="Q407" s="8" t="s">
        <v>1035</v>
      </c>
      <c r="R407" s="8" t="s">
        <v>62</v>
      </c>
      <c r="AB407" t="s">
        <v>581</v>
      </c>
      <c r="AD407" t="s">
        <v>582</v>
      </c>
      <c r="AE407" s="8">
        <v>1</v>
      </c>
      <c r="AF407" s="8">
        <v>0</v>
      </c>
      <c r="AG407" s="8" t="s">
        <v>65</v>
      </c>
      <c r="AH407" s="8">
        <v>1</v>
      </c>
      <c r="AI407" s="8">
        <v>1</v>
      </c>
      <c r="AJ407" s="8">
        <v>1</v>
      </c>
      <c r="AK407" s="8">
        <v>1</v>
      </c>
      <c r="AR407" s="8">
        <v>3050</v>
      </c>
      <c r="AS407" s="8">
        <v>1310</v>
      </c>
      <c r="AT407">
        <v>7795226</v>
      </c>
      <c r="AU407" s="8" t="s">
        <v>66</v>
      </c>
      <c r="AW407" s="8">
        <v>0</v>
      </c>
    </row>
    <row r="408" spans="1:49" x14ac:dyDescent="0.25">
      <c r="A408" t="s">
        <v>1210</v>
      </c>
      <c r="C408" t="s">
        <v>1051</v>
      </c>
      <c r="D408" t="s">
        <v>1033</v>
      </c>
      <c r="E408">
        <v>0</v>
      </c>
      <c r="F408">
        <v>13.6</v>
      </c>
      <c r="G408">
        <v>750</v>
      </c>
      <c r="J408" t="s">
        <v>584</v>
      </c>
      <c r="K408" s="8">
        <v>1</v>
      </c>
      <c r="L408" s="8">
        <v>1</v>
      </c>
      <c r="M408" t="str">
        <f t="shared" si="6"/>
        <v>Stratifie-U332-Orange-ST9</v>
      </c>
      <c r="N408" s="8">
        <v>0</v>
      </c>
      <c r="O408" s="8">
        <v>1</v>
      </c>
      <c r="P408" s="8">
        <v>0</v>
      </c>
      <c r="Q408" s="8" t="s">
        <v>1035</v>
      </c>
      <c r="R408" s="8" t="s">
        <v>62</v>
      </c>
      <c r="AB408" t="s">
        <v>585</v>
      </c>
      <c r="AD408" t="s">
        <v>586</v>
      </c>
      <c r="AE408" s="8">
        <v>1</v>
      </c>
      <c r="AF408" s="8">
        <v>0</v>
      </c>
      <c r="AG408" s="8" t="s">
        <v>65</v>
      </c>
      <c r="AH408" s="8">
        <v>1</v>
      </c>
      <c r="AI408" s="8">
        <v>1</v>
      </c>
      <c r="AJ408" s="8">
        <v>1</v>
      </c>
      <c r="AK408" s="8">
        <v>1</v>
      </c>
      <c r="AR408" s="8">
        <v>3050</v>
      </c>
      <c r="AS408" s="8">
        <v>1310</v>
      </c>
      <c r="AT408">
        <v>7730728</v>
      </c>
      <c r="AU408" s="8" t="s">
        <v>66</v>
      </c>
      <c r="AW408" s="8">
        <v>0</v>
      </c>
    </row>
    <row r="409" spans="1:49" x14ac:dyDescent="0.25">
      <c r="A409" t="s">
        <v>1211</v>
      </c>
      <c r="C409" t="s">
        <v>1051</v>
      </c>
      <c r="D409" t="s">
        <v>1033</v>
      </c>
      <c r="E409">
        <v>0</v>
      </c>
      <c r="F409">
        <v>13.6</v>
      </c>
      <c r="G409">
        <v>750</v>
      </c>
      <c r="J409" t="s">
        <v>588</v>
      </c>
      <c r="K409" s="8">
        <v>1</v>
      </c>
      <c r="L409" s="8">
        <v>1</v>
      </c>
      <c r="M409" t="str">
        <f t="shared" si="6"/>
        <v>Stratifie-U335-Rouge oxyde-ST9</v>
      </c>
      <c r="N409" s="8">
        <v>0</v>
      </c>
      <c r="O409" s="8">
        <v>1</v>
      </c>
      <c r="P409" s="8">
        <v>0</v>
      </c>
      <c r="Q409" s="8" t="s">
        <v>1035</v>
      </c>
      <c r="R409" s="8" t="s">
        <v>62</v>
      </c>
      <c r="AB409" t="s">
        <v>589</v>
      </c>
      <c r="AD409" t="s">
        <v>590</v>
      </c>
      <c r="AE409" s="8">
        <v>1</v>
      </c>
      <c r="AF409" s="8">
        <v>0</v>
      </c>
      <c r="AG409" s="8" t="s">
        <v>65</v>
      </c>
      <c r="AH409" s="8">
        <v>1</v>
      </c>
      <c r="AI409" s="8">
        <v>1</v>
      </c>
      <c r="AJ409" s="8">
        <v>1</v>
      </c>
      <c r="AK409" s="8">
        <v>1</v>
      </c>
      <c r="AR409" s="8">
        <v>3050</v>
      </c>
      <c r="AS409" s="8">
        <v>1310</v>
      </c>
      <c r="AT409">
        <v>4766550</v>
      </c>
      <c r="AU409" s="8" t="s">
        <v>66</v>
      </c>
      <c r="AW409" s="8">
        <v>0</v>
      </c>
    </row>
    <row r="410" spans="1:49" x14ac:dyDescent="0.25">
      <c r="A410" t="s">
        <v>1212</v>
      </c>
      <c r="C410" t="s">
        <v>1051</v>
      </c>
      <c r="D410" t="s">
        <v>1033</v>
      </c>
      <c r="E410">
        <v>0</v>
      </c>
      <c r="F410">
        <v>13.6</v>
      </c>
      <c r="G410">
        <v>750</v>
      </c>
      <c r="J410" t="s">
        <v>592</v>
      </c>
      <c r="K410" s="8">
        <v>1</v>
      </c>
      <c r="L410" s="8">
        <v>1</v>
      </c>
      <c r="M410" t="str">
        <f t="shared" si="6"/>
        <v>Stratifie-U350-Orange de Sienne-ST9</v>
      </c>
      <c r="N410" s="8">
        <v>0</v>
      </c>
      <c r="O410" s="8">
        <v>1</v>
      </c>
      <c r="P410" s="8">
        <v>0</v>
      </c>
      <c r="Q410" s="8" t="s">
        <v>1035</v>
      </c>
      <c r="R410" s="8" t="s">
        <v>62</v>
      </c>
      <c r="AB410" t="s">
        <v>593</v>
      </c>
      <c r="AD410" t="s">
        <v>594</v>
      </c>
      <c r="AE410" s="8">
        <v>1</v>
      </c>
      <c r="AF410" s="8">
        <v>0</v>
      </c>
      <c r="AG410" s="8" t="s">
        <v>65</v>
      </c>
      <c r="AH410" s="8">
        <v>1</v>
      </c>
      <c r="AI410" s="8">
        <v>1</v>
      </c>
      <c r="AJ410" s="8">
        <v>1</v>
      </c>
      <c r="AK410" s="8">
        <v>1</v>
      </c>
      <c r="AR410" s="8">
        <v>3050</v>
      </c>
      <c r="AS410" s="8">
        <v>1310</v>
      </c>
      <c r="AT410">
        <v>7730731</v>
      </c>
      <c r="AU410" s="8" t="s">
        <v>66</v>
      </c>
      <c r="AW410" s="8">
        <v>0</v>
      </c>
    </row>
    <row r="411" spans="1:49" x14ac:dyDescent="0.25">
      <c r="A411" t="s">
        <v>1213</v>
      </c>
      <c r="C411" t="s">
        <v>1051</v>
      </c>
      <c r="D411" t="s">
        <v>1033</v>
      </c>
      <c r="E411">
        <v>0</v>
      </c>
      <c r="F411">
        <v>13.6</v>
      </c>
      <c r="G411">
        <v>750</v>
      </c>
      <c r="J411" t="s">
        <v>596</v>
      </c>
      <c r="K411" s="8">
        <v>1</v>
      </c>
      <c r="L411" s="8">
        <v>1</v>
      </c>
      <c r="M411" t="str">
        <f t="shared" si="6"/>
        <v>Stratifie-U363-Rose flamingo-ST9</v>
      </c>
      <c r="N411" s="8">
        <v>0</v>
      </c>
      <c r="O411" s="8">
        <v>1</v>
      </c>
      <c r="P411" s="8">
        <v>0</v>
      </c>
      <c r="Q411" s="8" t="s">
        <v>1035</v>
      </c>
      <c r="R411" s="8" t="s">
        <v>62</v>
      </c>
      <c r="AB411" t="s">
        <v>597</v>
      </c>
      <c r="AD411" t="s">
        <v>598</v>
      </c>
      <c r="AE411" s="8">
        <v>1</v>
      </c>
      <c r="AF411" s="8">
        <v>0</v>
      </c>
      <c r="AG411" s="8" t="s">
        <v>65</v>
      </c>
      <c r="AH411" s="8">
        <v>1</v>
      </c>
      <c r="AI411" s="8">
        <v>1</v>
      </c>
      <c r="AJ411" s="8">
        <v>1</v>
      </c>
      <c r="AK411" s="8">
        <v>1</v>
      </c>
      <c r="AR411" s="8">
        <v>3050</v>
      </c>
      <c r="AS411" s="8">
        <v>1310</v>
      </c>
      <c r="AT411">
        <v>7730732</v>
      </c>
      <c r="AU411" s="8" t="s">
        <v>66</v>
      </c>
      <c r="AW411" s="8">
        <v>0</v>
      </c>
    </row>
    <row r="412" spans="1:49" x14ac:dyDescent="0.25">
      <c r="A412" t="s">
        <v>1214</v>
      </c>
      <c r="C412" t="s">
        <v>1051</v>
      </c>
      <c r="D412" t="s">
        <v>1033</v>
      </c>
      <c r="E412">
        <v>0</v>
      </c>
      <c r="F412">
        <v>17.670000000000002</v>
      </c>
      <c r="G412">
        <v>750</v>
      </c>
      <c r="J412" t="s">
        <v>600</v>
      </c>
      <c r="K412" s="8">
        <v>1</v>
      </c>
      <c r="L412" s="8">
        <v>1</v>
      </c>
      <c r="M412" t="str">
        <f t="shared" si="6"/>
        <v>Stratifie-U399-Rouge grenat-ST9</v>
      </c>
      <c r="N412" s="8">
        <v>0</v>
      </c>
      <c r="O412" s="8">
        <v>1</v>
      </c>
      <c r="P412" s="8">
        <v>0</v>
      </c>
      <c r="Q412" s="8" t="s">
        <v>1035</v>
      </c>
      <c r="R412" s="8" t="s">
        <v>62</v>
      </c>
      <c r="AB412" t="s">
        <v>601</v>
      </c>
      <c r="AD412" t="s">
        <v>602</v>
      </c>
      <c r="AE412" s="8">
        <v>1</v>
      </c>
      <c r="AF412" s="8">
        <v>0</v>
      </c>
      <c r="AG412" s="8" t="s">
        <v>65</v>
      </c>
      <c r="AH412" s="8">
        <v>1</v>
      </c>
      <c r="AI412" s="8">
        <v>1</v>
      </c>
      <c r="AJ412" s="8">
        <v>1</v>
      </c>
      <c r="AK412" s="8">
        <v>1</v>
      </c>
      <c r="AR412" s="8">
        <v>3050</v>
      </c>
      <c r="AS412" s="8">
        <v>1310</v>
      </c>
      <c r="AT412">
        <v>4766569</v>
      </c>
      <c r="AU412" s="8" t="s">
        <v>66</v>
      </c>
      <c r="AW412" s="8">
        <v>0</v>
      </c>
    </row>
    <row r="413" spans="1:49" x14ac:dyDescent="0.25">
      <c r="A413" t="s">
        <v>1215</v>
      </c>
      <c r="C413" t="s">
        <v>1051</v>
      </c>
      <c r="D413" t="s">
        <v>1033</v>
      </c>
      <c r="E413">
        <v>0</v>
      </c>
      <c r="F413">
        <v>13.6</v>
      </c>
      <c r="G413">
        <v>750</v>
      </c>
      <c r="J413" t="s">
        <v>604</v>
      </c>
      <c r="K413" s="8">
        <v>1</v>
      </c>
      <c r="L413" s="8">
        <v>1</v>
      </c>
      <c r="M413" t="str">
        <f t="shared" si="6"/>
        <v>Stratifie-U420-Lilas-ST9</v>
      </c>
      <c r="N413" s="8">
        <v>0</v>
      </c>
      <c r="O413" s="8">
        <v>1</v>
      </c>
      <c r="P413" s="8">
        <v>0</v>
      </c>
      <c r="Q413" s="8" t="s">
        <v>1035</v>
      </c>
      <c r="R413" s="8" t="s">
        <v>62</v>
      </c>
      <c r="AB413" t="s">
        <v>605</v>
      </c>
      <c r="AD413" t="s">
        <v>606</v>
      </c>
      <c r="AE413" s="8">
        <v>1</v>
      </c>
      <c r="AF413" s="8">
        <v>0</v>
      </c>
      <c r="AG413" s="8" t="s">
        <v>65</v>
      </c>
      <c r="AH413" s="8">
        <v>1</v>
      </c>
      <c r="AI413" s="8">
        <v>1</v>
      </c>
      <c r="AJ413" s="8">
        <v>1</v>
      </c>
      <c r="AK413" s="8">
        <v>1</v>
      </c>
      <c r="AR413" s="8">
        <v>3050</v>
      </c>
      <c r="AS413" s="8">
        <v>1310</v>
      </c>
      <c r="AT413">
        <v>7730737</v>
      </c>
      <c r="AU413" s="8" t="s">
        <v>66</v>
      </c>
      <c r="AW413" s="8">
        <v>0</v>
      </c>
    </row>
    <row r="414" spans="1:49" x14ac:dyDescent="0.25">
      <c r="A414" t="s">
        <v>1216</v>
      </c>
      <c r="C414" t="s">
        <v>1051</v>
      </c>
      <c r="D414" t="s">
        <v>1033</v>
      </c>
      <c r="E414">
        <v>0</v>
      </c>
      <c r="F414">
        <v>13.6</v>
      </c>
      <c r="G414">
        <v>750</v>
      </c>
      <c r="J414" t="s">
        <v>608</v>
      </c>
      <c r="K414" s="8">
        <v>1</v>
      </c>
      <c r="L414" s="8">
        <v>1</v>
      </c>
      <c r="M414" t="str">
        <f t="shared" si="6"/>
        <v>Stratifie-U430-Violet-ST9</v>
      </c>
      <c r="N414" s="8">
        <v>0</v>
      </c>
      <c r="O414" s="8">
        <v>1</v>
      </c>
      <c r="P414" s="8">
        <v>0</v>
      </c>
      <c r="Q414" s="8" t="s">
        <v>1035</v>
      </c>
      <c r="R414" s="8" t="s">
        <v>62</v>
      </c>
      <c r="AB414" t="s">
        <v>609</v>
      </c>
      <c r="AD414" t="s">
        <v>610</v>
      </c>
      <c r="AE414" s="8">
        <v>1</v>
      </c>
      <c r="AF414" s="8">
        <v>0</v>
      </c>
      <c r="AG414" s="8" t="s">
        <v>65</v>
      </c>
      <c r="AH414" s="8">
        <v>1</v>
      </c>
      <c r="AI414" s="8">
        <v>1</v>
      </c>
      <c r="AJ414" s="8">
        <v>1</v>
      </c>
      <c r="AK414" s="8">
        <v>1</v>
      </c>
      <c r="AR414" s="8">
        <v>3050</v>
      </c>
      <c r="AS414" s="8">
        <v>1310</v>
      </c>
      <c r="AT414">
        <v>7730738</v>
      </c>
      <c r="AU414" s="8" t="s">
        <v>66</v>
      </c>
      <c r="AW414" s="8">
        <v>0</v>
      </c>
    </row>
    <row r="415" spans="1:49" x14ac:dyDescent="0.25">
      <c r="A415" t="s">
        <v>1217</v>
      </c>
      <c r="C415" t="s">
        <v>1051</v>
      </c>
      <c r="D415" t="s">
        <v>1033</v>
      </c>
      <c r="E415">
        <v>0</v>
      </c>
      <c r="F415">
        <v>13.6</v>
      </c>
      <c r="G415">
        <v>750</v>
      </c>
      <c r="J415" t="s">
        <v>612</v>
      </c>
      <c r="K415" s="8">
        <v>1</v>
      </c>
      <c r="L415" s="8">
        <v>1</v>
      </c>
      <c r="M415" t="str">
        <f t="shared" si="6"/>
        <v>Stratifie-U500-Bleu glacier-ST9</v>
      </c>
      <c r="N415" s="8">
        <v>0</v>
      </c>
      <c r="O415" s="8">
        <v>1</v>
      </c>
      <c r="P415" s="8">
        <v>0</v>
      </c>
      <c r="Q415" s="8" t="s">
        <v>1035</v>
      </c>
      <c r="R415" s="8" t="s">
        <v>62</v>
      </c>
      <c r="AB415" t="s">
        <v>613</v>
      </c>
      <c r="AD415" t="s">
        <v>614</v>
      </c>
      <c r="AE415" s="8">
        <v>1</v>
      </c>
      <c r="AF415" s="8">
        <v>0</v>
      </c>
      <c r="AG415" s="8" t="s">
        <v>65</v>
      </c>
      <c r="AH415" s="8">
        <v>1</v>
      </c>
      <c r="AI415" s="8">
        <v>1</v>
      </c>
      <c r="AJ415" s="8">
        <v>1</v>
      </c>
      <c r="AK415" s="8">
        <v>1</v>
      </c>
      <c r="AR415" s="8">
        <v>3050</v>
      </c>
      <c r="AS415" s="8">
        <v>1310</v>
      </c>
      <c r="AT415">
        <v>7730739</v>
      </c>
      <c r="AU415" s="8" t="s">
        <v>66</v>
      </c>
      <c r="AW415" s="8">
        <v>0</v>
      </c>
    </row>
    <row r="416" spans="1:49" x14ac:dyDescent="0.25">
      <c r="A416" t="s">
        <v>1218</v>
      </c>
      <c r="C416" t="s">
        <v>1051</v>
      </c>
      <c r="D416" t="s">
        <v>1033</v>
      </c>
      <c r="E416">
        <v>0</v>
      </c>
      <c r="F416">
        <v>13.6</v>
      </c>
      <c r="G416">
        <v>750</v>
      </c>
      <c r="J416" t="s">
        <v>616</v>
      </c>
      <c r="K416" s="8">
        <v>1</v>
      </c>
      <c r="L416" s="8">
        <v>1</v>
      </c>
      <c r="M416" t="str">
        <f t="shared" si="6"/>
        <v>Stratifie-U502-Bleu brume-ST9</v>
      </c>
      <c r="N416" s="8">
        <v>0</v>
      </c>
      <c r="O416" s="8">
        <v>1</v>
      </c>
      <c r="P416" s="8">
        <v>0</v>
      </c>
      <c r="Q416" s="8" t="s">
        <v>1035</v>
      </c>
      <c r="R416" s="8" t="s">
        <v>62</v>
      </c>
      <c r="AB416" t="s">
        <v>617</v>
      </c>
      <c r="AD416" t="s">
        <v>618</v>
      </c>
      <c r="AE416" s="8">
        <v>1</v>
      </c>
      <c r="AF416" s="8">
        <v>0</v>
      </c>
      <c r="AG416" s="8" t="s">
        <v>65</v>
      </c>
      <c r="AH416" s="8">
        <v>1</v>
      </c>
      <c r="AI416" s="8">
        <v>1</v>
      </c>
      <c r="AJ416" s="8">
        <v>1</v>
      </c>
      <c r="AK416" s="8">
        <v>1</v>
      </c>
      <c r="AR416" s="8">
        <v>3050</v>
      </c>
      <c r="AS416" s="8">
        <v>1310</v>
      </c>
      <c r="AT416">
        <v>4766551</v>
      </c>
      <c r="AU416" s="8" t="s">
        <v>66</v>
      </c>
      <c r="AW416" s="8">
        <v>0</v>
      </c>
    </row>
    <row r="417" spans="1:49" x14ac:dyDescent="0.25">
      <c r="A417" t="s">
        <v>1219</v>
      </c>
      <c r="C417" t="s">
        <v>1051</v>
      </c>
      <c r="D417" t="s">
        <v>1033</v>
      </c>
      <c r="E417">
        <v>0</v>
      </c>
      <c r="F417">
        <v>13.6</v>
      </c>
      <c r="G417">
        <v>750</v>
      </c>
      <c r="J417" t="s">
        <v>620</v>
      </c>
      <c r="K417" s="8">
        <v>1</v>
      </c>
      <c r="L417" s="8">
        <v>1</v>
      </c>
      <c r="M417" t="str">
        <f t="shared" si="6"/>
        <v>Stratifie-U504-Bleu cosmique-ST9</v>
      </c>
      <c r="N417" s="8">
        <v>0</v>
      </c>
      <c r="O417" s="8">
        <v>1</v>
      </c>
      <c r="P417" s="8">
        <v>0</v>
      </c>
      <c r="Q417" s="8" t="s">
        <v>1035</v>
      </c>
      <c r="R417" s="8" t="s">
        <v>62</v>
      </c>
      <c r="AB417" t="s">
        <v>621</v>
      </c>
      <c r="AD417" t="s">
        <v>622</v>
      </c>
      <c r="AE417" s="8">
        <v>1</v>
      </c>
      <c r="AF417" s="8">
        <v>0</v>
      </c>
      <c r="AG417" s="8" t="s">
        <v>65</v>
      </c>
      <c r="AH417" s="8">
        <v>1</v>
      </c>
      <c r="AI417" s="8">
        <v>1</v>
      </c>
      <c r="AJ417" s="8">
        <v>1</v>
      </c>
      <c r="AK417" s="8">
        <v>1</v>
      </c>
      <c r="AR417" s="8">
        <v>3050</v>
      </c>
      <c r="AS417" s="8">
        <v>1310</v>
      </c>
      <c r="AT417">
        <v>7730740</v>
      </c>
      <c r="AU417" s="8" t="s">
        <v>66</v>
      </c>
      <c r="AW417" s="8">
        <v>0</v>
      </c>
    </row>
    <row r="418" spans="1:49" x14ac:dyDescent="0.25">
      <c r="A418" t="s">
        <v>1220</v>
      </c>
      <c r="C418" t="s">
        <v>1051</v>
      </c>
      <c r="D418" t="s">
        <v>1033</v>
      </c>
      <c r="E418">
        <v>0</v>
      </c>
      <c r="F418">
        <v>13.6</v>
      </c>
      <c r="G418">
        <v>750</v>
      </c>
      <c r="J418" t="s">
        <v>624</v>
      </c>
      <c r="K418" s="8">
        <v>1</v>
      </c>
      <c r="L418" s="8">
        <v>1</v>
      </c>
      <c r="M418" t="str">
        <f t="shared" si="6"/>
        <v>Stratifie-U505-Bleu nordique-ST9</v>
      </c>
      <c r="N418" s="8">
        <v>0</v>
      </c>
      <c r="O418" s="8">
        <v>1</v>
      </c>
      <c r="P418" s="8">
        <v>0</v>
      </c>
      <c r="Q418" s="8" t="s">
        <v>1035</v>
      </c>
      <c r="R418" s="8" t="s">
        <v>62</v>
      </c>
      <c r="AB418" t="s">
        <v>625</v>
      </c>
      <c r="AD418" t="s">
        <v>626</v>
      </c>
      <c r="AE418" s="8">
        <v>1</v>
      </c>
      <c r="AF418" s="8">
        <v>0</v>
      </c>
      <c r="AG418" s="8" t="s">
        <v>65</v>
      </c>
      <c r="AH418" s="8">
        <v>1</v>
      </c>
      <c r="AI418" s="8">
        <v>1</v>
      </c>
      <c r="AJ418" s="8">
        <v>1</v>
      </c>
      <c r="AK418" s="8">
        <v>1</v>
      </c>
      <c r="AR418" s="8">
        <v>3050</v>
      </c>
      <c r="AS418" s="8">
        <v>1310</v>
      </c>
      <c r="AT418">
        <v>4766552</v>
      </c>
      <c r="AU418" s="8" t="s">
        <v>66</v>
      </c>
      <c r="AW418" s="8">
        <v>0</v>
      </c>
    </row>
    <row r="419" spans="1:49" x14ac:dyDescent="0.25">
      <c r="A419" t="s">
        <v>1221</v>
      </c>
      <c r="C419" t="s">
        <v>1051</v>
      </c>
      <c r="D419" t="s">
        <v>1033</v>
      </c>
      <c r="E419">
        <v>0</v>
      </c>
      <c r="F419">
        <v>13.6</v>
      </c>
      <c r="G419">
        <v>750</v>
      </c>
      <c r="J419" t="s">
        <v>628</v>
      </c>
      <c r="K419" s="8">
        <v>1</v>
      </c>
      <c r="L419" s="8">
        <v>1</v>
      </c>
      <c r="M419" t="str">
        <f t="shared" si="6"/>
        <v>Stratifie-U522-Bleu horizon-ST9</v>
      </c>
      <c r="N419" s="8">
        <v>0</v>
      </c>
      <c r="O419" s="8">
        <v>1</v>
      </c>
      <c r="P419" s="8">
        <v>0</v>
      </c>
      <c r="Q419" s="8" t="s">
        <v>1035</v>
      </c>
      <c r="R419" s="8" t="s">
        <v>62</v>
      </c>
      <c r="AB419" t="s">
        <v>629</v>
      </c>
      <c r="AD419" t="s">
        <v>630</v>
      </c>
      <c r="AE419" s="8">
        <v>1</v>
      </c>
      <c r="AF419" s="8">
        <v>0</v>
      </c>
      <c r="AG419" s="8" t="s">
        <v>65</v>
      </c>
      <c r="AH419" s="8">
        <v>1</v>
      </c>
      <c r="AI419" s="8">
        <v>1</v>
      </c>
      <c r="AJ419" s="8">
        <v>1</v>
      </c>
      <c r="AK419" s="8">
        <v>1</v>
      </c>
      <c r="AR419" s="8">
        <v>3050</v>
      </c>
      <c r="AS419" s="8">
        <v>1310</v>
      </c>
      <c r="AT419">
        <v>7730743</v>
      </c>
      <c r="AU419" s="8" t="s">
        <v>66</v>
      </c>
      <c r="AW419" s="8">
        <v>0</v>
      </c>
    </row>
    <row r="420" spans="1:49" x14ac:dyDescent="0.25">
      <c r="A420" t="s">
        <v>1222</v>
      </c>
      <c r="C420" t="s">
        <v>1051</v>
      </c>
      <c r="D420" t="s">
        <v>1033</v>
      </c>
      <c r="E420">
        <v>0</v>
      </c>
      <c r="F420">
        <v>13.6</v>
      </c>
      <c r="G420">
        <v>750</v>
      </c>
      <c r="J420" t="s">
        <v>632</v>
      </c>
      <c r="K420" s="8">
        <v>1</v>
      </c>
      <c r="L420" s="8">
        <v>1</v>
      </c>
      <c r="M420" t="str">
        <f t="shared" si="6"/>
        <v>Stratifie-U525-Bleu de Delft-ST9</v>
      </c>
      <c r="N420" s="8">
        <v>0</v>
      </c>
      <c r="O420" s="8">
        <v>1</v>
      </c>
      <c r="P420" s="8">
        <v>0</v>
      </c>
      <c r="Q420" s="8" t="s">
        <v>1035</v>
      </c>
      <c r="R420" s="8" t="s">
        <v>62</v>
      </c>
      <c r="AB420" t="s">
        <v>633</v>
      </c>
      <c r="AD420" t="s">
        <v>634</v>
      </c>
      <c r="AE420" s="8">
        <v>1</v>
      </c>
      <c r="AF420" s="8">
        <v>0</v>
      </c>
      <c r="AG420" s="8" t="s">
        <v>65</v>
      </c>
      <c r="AH420" s="8">
        <v>1</v>
      </c>
      <c r="AI420" s="8">
        <v>1</v>
      </c>
      <c r="AJ420" s="8">
        <v>1</v>
      </c>
      <c r="AK420" s="8">
        <v>1</v>
      </c>
      <c r="AR420" s="8">
        <v>3050</v>
      </c>
      <c r="AS420" s="8">
        <v>1310</v>
      </c>
      <c r="AT420">
        <v>7730744</v>
      </c>
      <c r="AU420" s="8" t="s">
        <v>66</v>
      </c>
      <c r="AW420" s="8">
        <v>0</v>
      </c>
    </row>
    <row r="421" spans="1:49" x14ac:dyDescent="0.25">
      <c r="A421" t="s">
        <v>1223</v>
      </c>
      <c r="C421" t="s">
        <v>1051</v>
      </c>
      <c r="D421" t="s">
        <v>1033</v>
      </c>
      <c r="E421">
        <v>0</v>
      </c>
      <c r="F421">
        <v>13.6</v>
      </c>
      <c r="G421">
        <v>750</v>
      </c>
      <c r="J421" t="s">
        <v>636</v>
      </c>
      <c r="K421" s="8">
        <v>1</v>
      </c>
      <c r="L421" s="8">
        <v>1</v>
      </c>
      <c r="M421" t="str">
        <f t="shared" si="6"/>
        <v>Stratifie-U540-Bleu denim-ST9</v>
      </c>
      <c r="N421" s="8">
        <v>0</v>
      </c>
      <c r="O421" s="8">
        <v>1</v>
      </c>
      <c r="P421" s="8">
        <v>0</v>
      </c>
      <c r="Q421" s="8" t="s">
        <v>1035</v>
      </c>
      <c r="R421" s="8" t="s">
        <v>62</v>
      </c>
      <c r="AB421" t="s">
        <v>637</v>
      </c>
      <c r="AD421" t="s">
        <v>638</v>
      </c>
      <c r="AE421" s="8">
        <v>1</v>
      </c>
      <c r="AF421" s="8">
        <v>0</v>
      </c>
      <c r="AG421" s="8" t="s">
        <v>65</v>
      </c>
      <c r="AH421" s="8">
        <v>1</v>
      </c>
      <c r="AI421" s="8">
        <v>1</v>
      </c>
      <c r="AJ421" s="8">
        <v>1</v>
      </c>
      <c r="AK421" s="8">
        <v>1</v>
      </c>
      <c r="AR421" s="8">
        <v>3050</v>
      </c>
      <c r="AS421" s="8">
        <v>1310</v>
      </c>
      <c r="AT421">
        <v>7730746</v>
      </c>
      <c r="AU421" s="8" t="s">
        <v>66</v>
      </c>
      <c r="AW421" s="8">
        <v>0</v>
      </c>
    </row>
    <row r="422" spans="1:49" x14ac:dyDescent="0.25">
      <c r="A422" t="s">
        <v>1224</v>
      </c>
      <c r="C422" t="s">
        <v>1051</v>
      </c>
      <c r="D422" t="s">
        <v>1033</v>
      </c>
      <c r="E422">
        <v>0</v>
      </c>
      <c r="F422">
        <v>13.6</v>
      </c>
      <c r="G422">
        <v>750</v>
      </c>
      <c r="J422" t="s">
        <v>640</v>
      </c>
      <c r="K422" s="8">
        <v>1</v>
      </c>
      <c r="L422" s="8">
        <v>1</v>
      </c>
      <c r="M422" t="str">
        <f t="shared" si="6"/>
        <v>Stratifie-U545-Bleu baltique-ST9</v>
      </c>
      <c r="N422" s="8">
        <v>0</v>
      </c>
      <c r="O422" s="8">
        <v>1</v>
      </c>
      <c r="P422" s="8">
        <v>0</v>
      </c>
      <c r="Q422" s="8" t="s">
        <v>1035</v>
      </c>
      <c r="R422" s="8" t="s">
        <v>62</v>
      </c>
      <c r="AB422" t="s">
        <v>641</v>
      </c>
      <c r="AD422" t="s">
        <v>642</v>
      </c>
      <c r="AE422" s="8">
        <v>1</v>
      </c>
      <c r="AF422" s="8">
        <v>0</v>
      </c>
      <c r="AG422" s="8" t="s">
        <v>65</v>
      </c>
      <c r="AH422" s="8">
        <v>1</v>
      </c>
      <c r="AI422" s="8">
        <v>1</v>
      </c>
      <c r="AJ422" s="8">
        <v>1</v>
      </c>
      <c r="AK422" s="8">
        <v>1</v>
      </c>
      <c r="AR422" s="8">
        <v>3050</v>
      </c>
      <c r="AS422" s="8">
        <v>1310</v>
      </c>
      <c r="AT422">
        <v>4766553</v>
      </c>
      <c r="AU422" s="8" t="s">
        <v>66</v>
      </c>
      <c r="AW422" s="8">
        <v>0</v>
      </c>
    </row>
    <row r="423" spans="1:49" x14ac:dyDescent="0.25">
      <c r="A423" t="s">
        <v>1225</v>
      </c>
      <c r="C423" t="s">
        <v>1051</v>
      </c>
      <c r="D423" t="s">
        <v>1033</v>
      </c>
      <c r="E423">
        <v>0</v>
      </c>
      <c r="F423">
        <v>13.6</v>
      </c>
      <c r="G423">
        <v>750</v>
      </c>
      <c r="J423" t="s">
        <v>644</v>
      </c>
      <c r="K423" s="8">
        <v>1</v>
      </c>
      <c r="L423" s="8">
        <v>1</v>
      </c>
      <c r="M423" t="str">
        <f t="shared" si="6"/>
        <v>Stratifie-U560-Bleu outremer-ST9</v>
      </c>
      <c r="N423" s="8">
        <v>0</v>
      </c>
      <c r="O423" s="8">
        <v>1</v>
      </c>
      <c r="P423" s="8">
        <v>0</v>
      </c>
      <c r="Q423" s="8" t="s">
        <v>1035</v>
      </c>
      <c r="R423" s="8" t="s">
        <v>62</v>
      </c>
      <c r="AB423" t="s">
        <v>645</v>
      </c>
      <c r="AD423" t="s">
        <v>646</v>
      </c>
      <c r="AE423" s="8">
        <v>1</v>
      </c>
      <c r="AF423" s="8">
        <v>0</v>
      </c>
      <c r="AG423" s="8" t="s">
        <v>65</v>
      </c>
      <c r="AH423" s="8">
        <v>1</v>
      </c>
      <c r="AI423" s="8">
        <v>1</v>
      </c>
      <c r="AJ423" s="8">
        <v>1</v>
      </c>
      <c r="AK423" s="8">
        <v>1</v>
      </c>
      <c r="AR423" s="8">
        <v>3050</v>
      </c>
      <c r="AS423" s="8">
        <v>1310</v>
      </c>
      <c r="AT423">
        <v>7730747</v>
      </c>
      <c r="AU423" s="8" t="s">
        <v>66</v>
      </c>
      <c r="AW423" s="8">
        <v>0</v>
      </c>
    </row>
    <row r="424" spans="1:49" x14ac:dyDescent="0.25">
      <c r="A424" t="s">
        <v>1226</v>
      </c>
      <c r="C424" t="s">
        <v>1051</v>
      </c>
      <c r="D424" t="s">
        <v>1033</v>
      </c>
      <c r="E424">
        <v>0</v>
      </c>
      <c r="F424">
        <v>13.6</v>
      </c>
      <c r="G424">
        <v>750</v>
      </c>
      <c r="J424" t="s">
        <v>648</v>
      </c>
      <c r="K424" s="8">
        <v>1</v>
      </c>
      <c r="L424" s="8">
        <v>1</v>
      </c>
      <c r="M424" t="str">
        <f t="shared" si="6"/>
        <v>Stratifie-U565-Bleu ocean-ST9</v>
      </c>
      <c r="N424" s="8">
        <v>0</v>
      </c>
      <c r="O424" s="8">
        <v>1</v>
      </c>
      <c r="P424" s="8">
        <v>0</v>
      </c>
      <c r="Q424" s="8" t="s">
        <v>1035</v>
      </c>
      <c r="R424" s="8" t="s">
        <v>62</v>
      </c>
      <c r="AB424" t="s">
        <v>649</v>
      </c>
      <c r="AD424" t="s">
        <v>650</v>
      </c>
      <c r="AE424" s="8">
        <v>1</v>
      </c>
      <c r="AF424" s="8">
        <v>0</v>
      </c>
      <c r="AG424" s="8" t="s">
        <v>65</v>
      </c>
      <c r="AH424" s="8">
        <v>1</v>
      </c>
      <c r="AI424" s="8">
        <v>1</v>
      </c>
      <c r="AJ424" s="8">
        <v>1</v>
      </c>
      <c r="AK424" s="8">
        <v>1</v>
      </c>
      <c r="AR424" s="8">
        <v>3050</v>
      </c>
      <c r="AS424" s="8">
        <v>1310</v>
      </c>
      <c r="AT424">
        <v>4766554</v>
      </c>
      <c r="AU424" s="8" t="s">
        <v>66</v>
      </c>
      <c r="AW424" s="8">
        <v>0</v>
      </c>
    </row>
    <row r="425" spans="1:49" x14ac:dyDescent="0.25">
      <c r="A425" t="s">
        <v>1227</v>
      </c>
      <c r="C425" t="s">
        <v>1051</v>
      </c>
      <c r="D425" t="s">
        <v>1033</v>
      </c>
      <c r="E425">
        <v>0</v>
      </c>
      <c r="F425">
        <v>13.6</v>
      </c>
      <c r="G425">
        <v>750</v>
      </c>
      <c r="J425" t="s">
        <v>652</v>
      </c>
      <c r="K425" s="8">
        <v>1</v>
      </c>
      <c r="L425" s="8">
        <v>1</v>
      </c>
      <c r="M425" t="str">
        <f t="shared" si="6"/>
        <v>Stratifie-U570-Bleu nuit-ST9</v>
      </c>
      <c r="N425" s="8">
        <v>0</v>
      </c>
      <c r="O425" s="8">
        <v>1</v>
      </c>
      <c r="P425" s="8">
        <v>0</v>
      </c>
      <c r="Q425" s="8" t="s">
        <v>1035</v>
      </c>
      <c r="R425" s="8" t="s">
        <v>62</v>
      </c>
      <c r="AB425" t="s">
        <v>653</v>
      </c>
      <c r="AD425" t="s">
        <v>654</v>
      </c>
      <c r="AE425" s="8">
        <v>1</v>
      </c>
      <c r="AF425" s="8">
        <v>0</v>
      </c>
      <c r="AG425" s="8" t="s">
        <v>65</v>
      </c>
      <c r="AH425" s="8">
        <v>1</v>
      </c>
      <c r="AI425" s="8">
        <v>1</v>
      </c>
      <c r="AJ425" s="8">
        <v>1</v>
      </c>
      <c r="AK425" s="8">
        <v>1</v>
      </c>
      <c r="AR425" s="8">
        <v>3050</v>
      </c>
      <c r="AS425" s="8">
        <v>1310</v>
      </c>
      <c r="AT425">
        <v>7730748</v>
      </c>
      <c r="AU425" s="8" t="s">
        <v>66</v>
      </c>
      <c r="AW425" s="8">
        <v>0</v>
      </c>
    </row>
    <row r="426" spans="1:49" x14ac:dyDescent="0.25">
      <c r="A426" t="s">
        <v>1228</v>
      </c>
      <c r="C426" t="s">
        <v>1051</v>
      </c>
      <c r="D426" t="s">
        <v>1033</v>
      </c>
      <c r="E426">
        <v>0</v>
      </c>
      <c r="F426">
        <v>13.6</v>
      </c>
      <c r="G426">
        <v>750</v>
      </c>
      <c r="J426" t="s">
        <v>656</v>
      </c>
      <c r="K426" s="8">
        <v>1</v>
      </c>
      <c r="L426" s="8">
        <v>1</v>
      </c>
      <c r="M426" t="str">
        <f t="shared" si="6"/>
        <v>Stratifie-U575-Bleu profond-ST9</v>
      </c>
      <c r="N426" s="8">
        <v>0</v>
      </c>
      <c r="O426" s="8">
        <v>1</v>
      </c>
      <c r="P426" s="8">
        <v>0</v>
      </c>
      <c r="Q426" s="8" t="s">
        <v>1035</v>
      </c>
      <c r="R426" s="8" t="s">
        <v>62</v>
      </c>
      <c r="AB426" t="s">
        <v>657</v>
      </c>
      <c r="AD426" t="s">
        <v>658</v>
      </c>
      <c r="AE426" s="8">
        <v>1</v>
      </c>
      <c r="AF426" s="8">
        <v>0</v>
      </c>
      <c r="AG426" s="8" t="s">
        <v>65</v>
      </c>
      <c r="AH426" s="8">
        <v>1</v>
      </c>
      <c r="AI426" s="8">
        <v>1</v>
      </c>
      <c r="AJ426" s="8">
        <v>1</v>
      </c>
      <c r="AK426" s="8">
        <v>1</v>
      </c>
      <c r="AR426" s="8">
        <v>3050</v>
      </c>
      <c r="AS426" s="8">
        <v>1310</v>
      </c>
      <c r="AT426">
        <v>4766555</v>
      </c>
      <c r="AU426" s="8" t="s">
        <v>66</v>
      </c>
      <c r="AW426" s="8">
        <v>0</v>
      </c>
    </row>
    <row r="427" spans="1:49" x14ac:dyDescent="0.25">
      <c r="A427" t="s">
        <v>1229</v>
      </c>
      <c r="C427" t="s">
        <v>1051</v>
      </c>
      <c r="D427" t="s">
        <v>1033</v>
      </c>
      <c r="E427">
        <v>0</v>
      </c>
      <c r="F427">
        <v>17.670000000000002</v>
      </c>
      <c r="G427">
        <v>750</v>
      </c>
      <c r="J427" t="s">
        <v>660</v>
      </c>
      <c r="K427" s="8">
        <v>1</v>
      </c>
      <c r="L427" s="8">
        <v>1</v>
      </c>
      <c r="M427" t="str">
        <f t="shared" si="6"/>
        <v>Stratifie-U599-Bleu indigo-ST9</v>
      </c>
      <c r="N427" s="8">
        <v>0</v>
      </c>
      <c r="O427" s="8">
        <v>1</v>
      </c>
      <c r="P427" s="8">
        <v>0</v>
      </c>
      <c r="Q427" s="8" t="s">
        <v>1035</v>
      </c>
      <c r="R427" s="8" t="s">
        <v>62</v>
      </c>
      <c r="AB427" t="s">
        <v>661</v>
      </c>
      <c r="AD427" t="s">
        <v>662</v>
      </c>
      <c r="AE427" s="8">
        <v>1</v>
      </c>
      <c r="AF427" s="8">
        <v>0</v>
      </c>
      <c r="AG427" s="8" t="s">
        <v>65</v>
      </c>
      <c r="AH427" s="8">
        <v>1</v>
      </c>
      <c r="AI427" s="8">
        <v>1</v>
      </c>
      <c r="AJ427" s="8">
        <v>1</v>
      </c>
      <c r="AK427" s="8">
        <v>1</v>
      </c>
      <c r="AR427" s="8">
        <v>3050</v>
      </c>
      <c r="AS427" s="8">
        <v>1310</v>
      </c>
      <c r="AT427">
        <v>4751059</v>
      </c>
      <c r="AU427" s="8" t="s">
        <v>66</v>
      </c>
      <c r="AW427" s="8">
        <v>0</v>
      </c>
    </row>
    <row r="428" spans="1:49" x14ac:dyDescent="0.25">
      <c r="A428" t="s">
        <v>1230</v>
      </c>
      <c r="C428" t="s">
        <v>1051</v>
      </c>
      <c r="D428" t="s">
        <v>1033</v>
      </c>
      <c r="E428">
        <v>0</v>
      </c>
      <c r="F428">
        <v>13.6</v>
      </c>
      <c r="G428">
        <v>750</v>
      </c>
      <c r="J428" t="s">
        <v>664</v>
      </c>
      <c r="K428" s="8">
        <v>1</v>
      </c>
      <c r="L428" s="8">
        <v>1</v>
      </c>
      <c r="M428" t="str">
        <f t="shared" si="6"/>
        <v>Stratifie-U604-Vert eucalyptus-ST9</v>
      </c>
      <c r="N428" s="8">
        <v>0</v>
      </c>
      <c r="O428" s="8">
        <v>1</v>
      </c>
      <c r="P428" s="8">
        <v>0</v>
      </c>
      <c r="Q428" s="8" t="s">
        <v>1035</v>
      </c>
      <c r="R428" s="8" t="s">
        <v>62</v>
      </c>
      <c r="AB428" t="s">
        <v>665</v>
      </c>
      <c r="AD428" t="s">
        <v>666</v>
      </c>
      <c r="AE428" s="8">
        <v>1</v>
      </c>
      <c r="AF428" s="8">
        <v>0</v>
      </c>
      <c r="AG428" s="8" t="s">
        <v>65</v>
      </c>
      <c r="AH428" s="8">
        <v>1</v>
      </c>
      <c r="AI428" s="8">
        <v>1</v>
      </c>
      <c r="AJ428" s="8">
        <v>1</v>
      </c>
      <c r="AK428" s="8">
        <v>1</v>
      </c>
      <c r="AR428" s="8">
        <v>3050</v>
      </c>
      <c r="AS428" s="8">
        <v>1310</v>
      </c>
      <c r="AT428">
        <v>4766556</v>
      </c>
      <c r="AU428" s="8" t="s">
        <v>66</v>
      </c>
      <c r="AW428" s="8">
        <v>0</v>
      </c>
    </row>
    <row r="429" spans="1:49" x14ac:dyDescent="0.25">
      <c r="A429" t="s">
        <v>1231</v>
      </c>
      <c r="C429" t="s">
        <v>1051</v>
      </c>
      <c r="D429" t="s">
        <v>1033</v>
      </c>
      <c r="E429">
        <v>0</v>
      </c>
      <c r="F429">
        <v>13.6</v>
      </c>
      <c r="G429">
        <v>750</v>
      </c>
      <c r="J429" t="s">
        <v>668</v>
      </c>
      <c r="K429" s="8">
        <v>1</v>
      </c>
      <c r="L429" s="8">
        <v>1</v>
      </c>
      <c r="M429" t="str">
        <f t="shared" si="6"/>
        <v>Stratifie-U606-Vert sapin-ST9</v>
      </c>
      <c r="N429" s="8">
        <v>0</v>
      </c>
      <c r="O429" s="8">
        <v>1</v>
      </c>
      <c r="P429" s="8">
        <v>0</v>
      </c>
      <c r="Q429" s="8" t="s">
        <v>1035</v>
      </c>
      <c r="R429" s="8" t="s">
        <v>62</v>
      </c>
      <c r="AB429" t="s">
        <v>669</v>
      </c>
      <c r="AD429" t="s">
        <v>670</v>
      </c>
      <c r="AE429" s="8">
        <v>1</v>
      </c>
      <c r="AF429" s="8">
        <v>0</v>
      </c>
      <c r="AG429" s="8" t="s">
        <v>65</v>
      </c>
      <c r="AH429" s="8">
        <v>1</v>
      </c>
      <c r="AI429" s="8">
        <v>1</v>
      </c>
      <c r="AJ429" s="8">
        <v>1</v>
      </c>
      <c r="AK429" s="8">
        <v>1</v>
      </c>
      <c r="AR429" s="8">
        <v>3050</v>
      </c>
      <c r="AS429" s="8">
        <v>1310</v>
      </c>
      <c r="AT429">
        <v>7730750</v>
      </c>
      <c r="AU429" s="8" t="s">
        <v>66</v>
      </c>
      <c r="AW429" s="8">
        <v>0</v>
      </c>
    </row>
    <row r="430" spans="1:49" x14ac:dyDescent="0.25">
      <c r="A430" t="s">
        <v>1232</v>
      </c>
      <c r="C430" t="s">
        <v>1051</v>
      </c>
      <c r="D430" t="s">
        <v>1033</v>
      </c>
      <c r="E430">
        <v>0</v>
      </c>
      <c r="F430">
        <v>13.6</v>
      </c>
      <c r="G430">
        <v>750</v>
      </c>
      <c r="J430" t="s">
        <v>672</v>
      </c>
      <c r="K430" s="8">
        <v>1</v>
      </c>
      <c r="L430" s="8">
        <v>1</v>
      </c>
      <c r="M430" t="str">
        <f t="shared" si="6"/>
        <v>Stratifie-U608-Vert opale-ST9</v>
      </c>
      <c r="N430" s="8">
        <v>0</v>
      </c>
      <c r="O430" s="8">
        <v>1</v>
      </c>
      <c r="P430" s="8">
        <v>0</v>
      </c>
      <c r="Q430" s="8" t="s">
        <v>1035</v>
      </c>
      <c r="R430" s="8" t="s">
        <v>62</v>
      </c>
      <c r="AB430" t="s">
        <v>673</v>
      </c>
      <c r="AD430" t="s">
        <v>674</v>
      </c>
      <c r="AE430" s="8">
        <v>1</v>
      </c>
      <c r="AF430" s="8">
        <v>0</v>
      </c>
      <c r="AG430" s="8" t="s">
        <v>65</v>
      </c>
      <c r="AH430" s="8">
        <v>1</v>
      </c>
      <c r="AI430" s="8">
        <v>1</v>
      </c>
      <c r="AJ430" s="8">
        <v>1</v>
      </c>
      <c r="AK430" s="8">
        <v>1</v>
      </c>
      <c r="AR430" s="8">
        <v>3050</v>
      </c>
      <c r="AS430" s="8">
        <v>1310</v>
      </c>
      <c r="AT430">
        <v>7730751</v>
      </c>
      <c r="AU430" s="8" t="s">
        <v>66</v>
      </c>
      <c r="AW430" s="8">
        <v>0</v>
      </c>
    </row>
    <row r="431" spans="1:49" x14ac:dyDescent="0.25">
      <c r="A431" t="s">
        <v>1233</v>
      </c>
      <c r="C431" t="s">
        <v>1051</v>
      </c>
      <c r="D431" t="s">
        <v>1033</v>
      </c>
      <c r="E431">
        <v>0</v>
      </c>
      <c r="F431">
        <v>13.6</v>
      </c>
      <c r="G431">
        <v>750</v>
      </c>
      <c r="J431" t="s">
        <v>676</v>
      </c>
      <c r="K431" s="8">
        <v>1</v>
      </c>
      <c r="L431" s="8">
        <v>1</v>
      </c>
      <c r="M431" t="str">
        <f t="shared" si="6"/>
        <v>Stratifie-U626-Vert kiwi-ST9</v>
      </c>
      <c r="N431" s="8">
        <v>0</v>
      </c>
      <c r="O431" s="8">
        <v>1</v>
      </c>
      <c r="P431" s="8">
        <v>0</v>
      </c>
      <c r="Q431" s="8" t="s">
        <v>1035</v>
      </c>
      <c r="R431" s="8" t="s">
        <v>62</v>
      </c>
      <c r="AB431" t="s">
        <v>677</v>
      </c>
      <c r="AD431" t="s">
        <v>678</v>
      </c>
      <c r="AE431" s="8">
        <v>1</v>
      </c>
      <c r="AF431" s="8">
        <v>0</v>
      </c>
      <c r="AG431" s="8" t="s">
        <v>65</v>
      </c>
      <c r="AH431" s="8">
        <v>1</v>
      </c>
      <c r="AI431" s="8">
        <v>1</v>
      </c>
      <c r="AJ431" s="8">
        <v>1</v>
      </c>
      <c r="AK431" s="8">
        <v>1</v>
      </c>
      <c r="AR431" s="8">
        <v>3050</v>
      </c>
      <c r="AS431" s="8">
        <v>1310</v>
      </c>
      <c r="AT431">
        <v>7730753</v>
      </c>
      <c r="AU431" s="8" t="s">
        <v>66</v>
      </c>
      <c r="AW431" s="8">
        <v>0</v>
      </c>
    </row>
    <row r="432" spans="1:49" x14ac:dyDescent="0.25">
      <c r="A432" t="s">
        <v>1234</v>
      </c>
      <c r="C432" t="s">
        <v>1051</v>
      </c>
      <c r="D432" t="s">
        <v>1033</v>
      </c>
      <c r="E432">
        <v>0</v>
      </c>
      <c r="F432">
        <v>13.6</v>
      </c>
      <c r="G432">
        <v>750</v>
      </c>
      <c r="J432" t="s">
        <v>680</v>
      </c>
      <c r="K432" s="8">
        <v>1</v>
      </c>
      <c r="L432" s="8">
        <v>1</v>
      </c>
      <c r="M432" t="str">
        <f t="shared" si="6"/>
        <v>Stratifie-U630-Vert pomme-ST9</v>
      </c>
      <c r="N432" s="8">
        <v>0</v>
      </c>
      <c r="O432" s="8">
        <v>1</v>
      </c>
      <c r="P432" s="8">
        <v>0</v>
      </c>
      <c r="Q432" s="8" t="s">
        <v>1035</v>
      </c>
      <c r="R432" s="8" t="s">
        <v>62</v>
      </c>
      <c r="AB432" t="s">
        <v>681</v>
      </c>
      <c r="AD432" t="s">
        <v>682</v>
      </c>
      <c r="AE432" s="8">
        <v>1</v>
      </c>
      <c r="AF432" s="8">
        <v>0</v>
      </c>
      <c r="AG432" s="8" t="s">
        <v>65</v>
      </c>
      <c r="AH432" s="8">
        <v>1</v>
      </c>
      <c r="AI432" s="8">
        <v>1</v>
      </c>
      <c r="AJ432" s="8">
        <v>1</v>
      </c>
      <c r="AK432" s="8">
        <v>1</v>
      </c>
      <c r="AR432" s="8">
        <v>3050</v>
      </c>
      <c r="AS432" s="8">
        <v>1310</v>
      </c>
      <c r="AT432">
        <v>7730754</v>
      </c>
      <c r="AU432" s="8" t="s">
        <v>66</v>
      </c>
      <c r="AW432" s="8">
        <v>0</v>
      </c>
    </row>
    <row r="433" spans="1:49" x14ac:dyDescent="0.25">
      <c r="A433" t="s">
        <v>1235</v>
      </c>
      <c r="C433" t="s">
        <v>1051</v>
      </c>
      <c r="D433" t="s">
        <v>1033</v>
      </c>
      <c r="E433">
        <v>0</v>
      </c>
      <c r="F433">
        <v>13.6</v>
      </c>
      <c r="G433">
        <v>750</v>
      </c>
      <c r="J433" t="s">
        <v>684</v>
      </c>
      <c r="K433" s="8">
        <v>1</v>
      </c>
      <c r="L433" s="8">
        <v>1</v>
      </c>
      <c r="M433" t="str">
        <f t="shared" si="6"/>
        <v>Stratifie-U633-Bleu turquoise-ST9</v>
      </c>
      <c r="N433" s="8">
        <v>0</v>
      </c>
      <c r="O433" s="8">
        <v>1</v>
      </c>
      <c r="P433" s="8">
        <v>0</v>
      </c>
      <c r="Q433" s="8" t="s">
        <v>1035</v>
      </c>
      <c r="R433" s="8" t="s">
        <v>62</v>
      </c>
      <c r="AB433" t="s">
        <v>685</v>
      </c>
      <c r="AD433" t="s">
        <v>686</v>
      </c>
      <c r="AE433" s="8">
        <v>1</v>
      </c>
      <c r="AF433" s="8">
        <v>0</v>
      </c>
      <c r="AG433" s="8" t="s">
        <v>65</v>
      </c>
      <c r="AH433" s="8">
        <v>1</v>
      </c>
      <c r="AI433" s="8">
        <v>1</v>
      </c>
      <c r="AJ433" s="8">
        <v>1</v>
      </c>
      <c r="AK433" s="8">
        <v>1</v>
      </c>
      <c r="AR433" s="8">
        <v>3050</v>
      </c>
      <c r="AS433" s="8">
        <v>1310</v>
      </c>
      <c r="AT433">
        <v>7795229</v>
      </c>
      <c r="AU433" s="8" t="s">
        <v>66</v>
      </c>
      <c r="AW433" s="8">
        <v>0</v>
      </c>
    </row>
    <row r="434" spans="1:49" x14ac:dyDescent="0.25">
      <c r="A434" t="s">
        <v>1236</v>
      </c>
      <c r="C434" t="s">
        <v>1051</v>
      </c>
      <c r="D434" t="s">
        <v>1033</v>
      </c>
      <c r="E434">
        <v>0</v>
      </c>
      <c r="F434">
        <v>13.6</v>
      </c>
      <c r="G434">
        <v>750</v>
      </c>
      <c r="J434" t="s">
        <v>688</v>
      </c>
      <c r="K434" s="8">
        <v>1</v>
      </c>
      <c r="L434" s="8">
        <v>1</v>
      </c>
      <c r="M434" t="str">
        <f t="shared" si="6"/>
        <v>Stratifie-U636-Vert fjord-ST9</v>
      </c>
      <c r="N434" s="8">
        <v>0</v>
      </c>
      <c r="O434" s="8">
        <v>1</v>
      </c>
      <c r="P434" s="8">
        <v>0</v>
      </c>
      <c r="Q434" s="8" t="s">
        <v>1035</v>
      </c>
      <c r="R434" s="8" t="s">
        <v>62</v>
      </c>
      <c r="AB434" t="s">
        <v>689</v>
      </c>
      <c r="AD434" t="s">
        <v>690</v>
      </c>
      <c r="AE434" s="8">
        <v>1</v>
      </c>
      <c r="AF434" s="8">
        <v>0</v>
      </c>
      <c r="AG434" s="8" t="s">
        <v>65</v>
      </c>
      <c r="AH434" s="8">
        <v>1</v>
      </c>
      <c r="AI434" s="8">
        <v>1</v>
      </c>
      <c r="AJ434" s="8">
        <v>1</v>
      </c>
      <c r="AK434" s="8">
        <v>1</v>
      </c>
      <c r="AR434" s="8">
        <v>3050</v>
      </c>
      <c r="AS434" s="8">
        <v>1310</v>
      </c>
      <c r="AT434">
        <v>7730755</v>
      </c>
      <c r="AU434" s="8" t="s">
        <v>66</v>
      </c>
      <c r="AW434" s="8">
        <v>0</v>
      </c>
    </row>
    <row r="435" spans="1:49" x14ac:dyDescent="0.25">
      <c r="A435" t="s">
        <v>1237</v>
      </c>
      <c r="C435" t="s">
        <v>1051</v>
      </c>
      <c r="D435" t="s">
        <v>1033</v>
      </c>
      <c r="E435">
        <v>0</v>
      </c>
      <c r="F435">
        <v>13.6</v>
      </c>
      <c r="G435">
        <v>750</v>
      </c>
      <c r="J435" t="s">
        <v>692</v>
      </c>
      <c r="K435" s="8">
        <v>1</v>
      </c>
      <c r="L435" s="8">
        <v>1</v>
      </c>
      <c r="M435" t="str">
        <f t="shared" si="6"/>
        <v>Stratifie-U638-Vert sauge-ST9</v>
      </c>
      <c r="N435" s="8">
        <v>0</v>
      </c>
      <c r="O435" s="8">
        <v>1</v>
      </c>
      <c r="P435" s="8">
        <v>0</v>
      </c>
      <c r="Q435" s="8" t="s">
        <v>1035</v>
      </c>
      <c r="R435" s="8" t="s">
        <v>62</v>
      </c>
      <c r="AB435" t="s">
        <v>693</v>
      </c>
      <c r="AD435" t="s">
        <v>694</v>
      </c>
      <c r="AE435" s="8">
        <v>1</v>
      </c>
      <c r="AF435" s="8">
        <v>0</v>
      </c>
      <c r="AG435" s="8" t="s">
        <v>65</v>
      </c>
      <c r="AH435" s="8">
        <v>1</v>
      </c>
      <c r="AI435" s="8">
        <v>1</v>
      </c>
      <c r="AJ435" s="8">
        <v>1</v>
      </c>
      <c r="AK435" s="8">
        <v>1</v>
      </c>
      <c r="AR435" s="8">
        <v>3050</v>
      </c>
      <c r="AS435" s="8">
        <v>1310</v>
      </c>
      <c r="AT435">
        <v>4766557</v>
      </c>
      <c r="AU435" s="8" t="s">
        <v>66</v>
      </c>
      <c r="AW435" s="8">
        <v>0</v>
      </c>
    </row>
    <row r="436" spans="1:49" x14ac:dyDescent="0.25">
      <c r="A436" t="s">
        <v>1238</v>
      </c>
      <c r="C436" t="s">
        <v>1051</v>
      </c>
      <c r="D436" t="s">
        <v>1033</v>
      </c>
      <c r="E436">
        <v>0</v>
      </c>
      <c r="F436">
        <v>13.6</v>
      </c>
      <c r="G436">
        <v>750</v>
      </c>
      <c r="J436" t="s">
        <v>696</v>
      </c>
      <c r="K436" s="8">
        <v>1</v>
      </c>
      <c r="L436" s="8">
        <v>1</v>
      </c>
      <c r="M436" t="str">
        <f t="shared" si="6"/>
        <v>Stratifie-U640-Vert olive-ST9</v>
      </c>
      <c r="N436" s="8">
        <v>0</v>
      </c>
      <c r="O436" s="8">
        <v>1</v>
      </c>
      <c r="P436" s="8">
        <v>0</v>
      </c>
      <c r="Q436" s="8" t="s">
        <v>1035</v>
      </c>
      <c r="R436" s="8" t="s">
        <v>62</v>
      </c>
      <c r="AB436" t="s">
        <v>697</v>
      </c>
      <c r="AD436" t="s">
        <v>698</v>
      </c>
      <c r="AE436" s="8">
        <v>1</v>
      </c>
      <c r="AF436" s="8">
        <v>0</v>
      </c>
      <c r="AG436" s="8" t="s">
        <v>65</v>
      </c>
      <c r="AH436" s="8">
        <v>1</v>
      </c>
      <c r="AI436" s="8">
        <v>1</v>
      </c>
      <c r="AJ436" s="8">
        <v>1</v>
      </c>
      <c r="AK436" s="8">
        <v>1</v>
      </c>
      <c r="AR436" s="8">
        <v>3050</v>
      </c>
      <c r="AS436" s="8">
        <v>1310</v>
      </c>
      <c r="AT436">
        <v>4766558</v>
      </c>
      <c r="AU436" s="8" t="s">
        <v>66</v>
      </c>
      <c r="AW436" s="8">
        <v>0</v>
      </c>
    </row>
    <row r="437" spans="1:49" x14ac:dyDescent="0.25">
      <c r="A437" t="s">
        <v>1239</v>
      </c>
      <c r="C437" t="s">
        <v>1051</v>
      </c>
      <c r="D437" t="s">
        <v>1033</v>
      </c>
      <c r="E437">
        <v>0</v>
      </c>
      <c r="F437">
        <v>13.6</v>
      </c>
      <c r="G437">
        <v>750</v>
      </c>
      <c r="J437" t="s">
        <v>700</v>
      </c>
      <c r="K437" s="8">
        <v>1</v>
      </c>
      <c r="L437" s="8">
        <v>1</v>
      </c>
      <c r="M437" t="str">
        <f t="shared" si="6"/>
        <v>Stratifie-U645-Vert agave-ST9</v>
      </c>
      <c r="N437" s="8">
        <v>0</v>
      </c>
      <c r="O437" s="8">
        <v>1</v>
      </c>
      <c r="P437" s="8">
        <v>0</v>
      </c>
      <c r="Q437" s="8" t="s">
        <v>1035</v>
      </c>
      <c r="R437" s="8" t="s">
        <v>62</v>
      </c>
      <c r="AB437" t="s">
        <v>701</v>
      </c>
      <c r="AD437" t="s">
        <v>702</v>
      </c>
      <c r="AE437" s="8">
        <v>1</v>
      </c>
      <c r="AF437" s="8">
        <v>0</v>
      </c>
      <c r="AG437" s="8" t="s">
        <v>65</v>
      </c>
      <c r="AH437" s="8">
        <v>1</v>
      </c>
      <c r="AI437" s="8">
        <v>1</v>
      </c>
      <c r="AJ437" s="8">
        <v>1</v>
      </c>
      <c r="AK437" s="8">
        <v>1</v>
      </c>
      <c r="AR437" s="8">
        <v>3050</v>
      </c>
      <c r="AS437" s="8">
        <v>1310</v>
      </c>
      <c r="AT437">
        <v>4766559</v>
      </c>
      <c r="AU437" s="8" t="s">
        <v>66</v>
      </c>
      <c r="AW437" s="8">
        <v>0</v>
      </c>
    </row>
    <row r="438" spans="1:49" x14ac:dyDescent="0.25">
      <c r="A438" t="s">
        <v>1240</v>
      </c>
      <c r="C438" t="s">
        <v>1051</v>
      </c>
      <c r="D438" t="s">
        <v>1033</v>
      </c>
      <c r="E438">
        <v>0</v>
      </c>
      <c r="F438">
        <v>20.36</v>
      </c>
      <c r="G438">
        <v>750</v>
      </c>
      <c r="J438" t="s">
        <v>704</v>
      </c>
      <c r="K438" s="8">
        <v>1</v>
      </c>
      <c r="L438" s="8">
        <v>1</v>
      </c>
      <c r="M438" t="str">
        <f t="shared" si="6"/>
        <v>Stratifie-U646-Vert Niagara-ST9</v>
      </c>
      <c r="N438" s="8">
        <v>0</v>
      </c>
      <c r="O438" s="8">
        <v>1</v>
      </c>
      <c r="P438" s="8">
        <v>0</v>
      </c>
      <c r="Q438" s="8" t="s">
        <v>1035</v>
      </c>
      <c r="R438" s="8" t="s">
        <v>62</v>
      </c>
      <c r="AB438" t="s">
        <v>705</v>
      </c>
      <c r="AD438" t="s">
        <v>706</v>
      </c>
      <c r="AE438" s="8">
        <v>1</v>
      </c>
      <c r="AF438" s="8">
        <v>0</v>
      </c>
      <c r="AG438" s="8" t="s">
        <v>65</v>
      </c>
      <c r="AH438" s="8">
        <v>1</v>
      </c>
      <c r="AI438" s="8">
        <v>1</v>
      </c>
      <c r="AJ438" s="8">
        <v>1</v>
      </c>
      <c r="AK438" s="8">
        <v>1</v>
      </c>
      <c r="AR438" s="8">
        <v>3050</v>
      </c>
      <c r="AS438" s="8">
        <v>1310</v>
      </c>
      <c r="AT438">
        <v>7795279</v>
      </c>
      <c r="AU438" s="8" t="s">
        <v>66</v>
      </c>
      <c r="AW438" s="8">
        <v>0</v>
      </c>
    </row>
    <row r="439" spans="1:49" x14ac:dyDescent="0.25">
      <c r="A439" t="s">
        <v>1241</v>
      </c>
      <c r="C439" t="s">
        <v>1051</v>
      </c>
      <c r="D439" t="s">
        <v>1033</v>
      </c>
      <c r="E439">
        <v>0</v>
      </c>
      <c r="F439">
        <v>13.6</v>
      </c>
      <c r="G439">
        <v>750</v>
      </c>
      <c r="J439" t="s">
        <v>708</v>
      </c>
      <c r="K439" s="8">
        <v>1</v>
      </c>
      <c r="L439" s="8">
        <v>1</v>
      </c>
      <c r="M439" t="str">
        <f t="shared" si="6"/>
        <v>Stratifie-U665-Vert mineral-ST9</v>
      </c>
      <c r="N439" s="8">
        <v>0</v>
      </c>
      <c r="O439" s="8">
        <v>1</v>
      </c>
      <c r="P439" s="8">
        <v>0</v>
      </c>
      <c r="Q439" s="8" t="s">
        <v>1035</v>
      </c>
      <c r="R439" s="8" t="s">
        <v>62</v>
      </c>
      <c r="AB439" t="s">
        <v>709</v>
      </c>
      <c r="AD439" t="s">
        <v>710</v>
      </c>
      <c r="AE439" s="8">
        <v>1</v>
      </c>
      <c r="AF439" s="8">
        <v>0</v>
      </c>
      <c r="AG439" s="8" t="s">
        <v>65</v>
      </c>
      <c r="AH439" s="8">
        <v>1</v>
      </c>
      <c r="AI439" s="8">
        <v>1</v>
      </c>
      <c r="AJ439" s="8">
        <v>1</v>
      </c>
      <c r="AK439" s="8">
        <v>1</v>
      </c>
      <c r="AR439" s="8">
        <v>3050</v>
      </c>
      <c r="AS439" s="8">
        <v>1310</v>
      </c>
      <c r="AT439">
        <v>4766560</v>
      </c>
      <c r="AU439" s="8" t="s">
        <v>66</v>
      </c>
      <c r="AW439" s="8">
        <v>0</v>
      </c>
    </row>
    <row r="440" spans="1:49" x14ac:dyDescent="0.25">
      <c r="A440" t="s">
        <v>1242</v>
      </c>
      <c r="C440" t="s">
        <v>1051</v>
      </c>
      <c r="D440" t="s">
        <v>1033</v>
      </c>
      <c r="E440">
        <v>0</v>
      </c>
      <c r="F440">
        <v>13.6</v>
      </c>
      <c r="G440">
        <v>750</v>
      </c>
      <c r="J440" t="s">
        <v>712</v>
      </c>
      <c r="K440" s="8">
        <v>1</v>
      </c>
      <c r="L440" s="8">
        <v>1</v>
      </c>
      <c r="M440" t="str">
        <f t="shared" si="6"/>
        <v>Stratifie-U699-Vert fonce-ST9</v>
      </c>
      <c r="N440" s="8">
        <v>0</v>
      </c>
      <c r="O440" s="8">
        <v>1</v>
      </c>
      <c r="P440" s="8">
        <v>0</v>
      </c>
      <c r="Q440" s="8" t="s">
        <v>1035</v>
      </c>
      <c r="R440" s="8" t="s">
        <v>62</v>
      </c>
      <c r="AB440" t="s">
        <v>713</v>
      </c>
      <c r="AD440" t="s">
        <v>714</v>
      </c>
      <c r="AE440" s="8">
        <v>1</v>
      </c>
      <c r="AF440" s="8">
        <v>0</v>
      </c>
      <c r="AG440" s="8" t="s">
        <v>65</v>
      </c>
      <c r="AH440" s="8">
        <v>1</v>
      </c>
      <c r="AI440" s="8">
        <v>1</v>
      </c>
      <c r="AJ440" s="8">
        <v>1</v>
      </c>
      <c r="AK440" s="8">
        <v>1</v>
      </c>
      <c r="AR440" s="8">
        <v>3050</v>
      </c>
      <c r="AS440" s="8">
        <v>1310</v>
      </c>
      <c r="AT440">
        <v>4766561</v>
      </c>
      <c r="AU440" s="8" t="s">
        <v>66</v>
      </c>
      <c r="AW440" s="8">
        <v>0</v>
      </c>
    </row>
    <row r="441" spans="1:49" x14ac:dyDescent="0.25">
      <c r="A441" t="s">
        <v>1243</v>
      </c>
      <c r="C441" t="s">
        <v>1051</v>
      </c>
      <c r="D441" t="s">
        <v>1033</v>
      </c>
      <c r="E441">
        <v>0</v>
      </c>
      <c r="F441">
        <v>17.38</v>
      </c>
      <c r="G441">
        <v>750</v>
      </c>
      <c r="J441" t="s">
        <v>716</v>
      </c>
      <c r="K441" s="8">
        <v>1</v>
      </c>
      <c r="L441" s="8">
        <v>1</v>
      </c>
      <c r="M441" t="str">
        <f t="shared" si="6"/>
        <v>Stratifie-U702-Gris cachemire-ST9</v>
      </c>
      <c r="N441" s="8">
        <v>0</v>
      </c>
      <c r="O441" s="8">
        <v>1</v>
      </c>
      <c r="P441" s="8">
        <v>0</v>
      </c>
      <c r="Q441" s="8" t="s">
        <v>1035</v>
      </c>
      <c r="R441" s="8" t="s">
        <v>62</v>
      </c>
      <c r="AB441" t="s">
        <v>717</v>
      </c>
      <c r="AD441" t="s">
        <v>718</v>
      </c>
      <c r="AE441" s="8">
        <v>1</v>
      </c>
      <c r="AF441" s="8">
        <v>0</v>
      </c>
      <c r="AG441" s="8" t="s">
        <v>65</v>
      </c>
      <c r="AH441" s="8">
        <v>1</v>
      </c>
      <c r="AI441" s="8">
        <v>1</v>
      </c>
      <c r="AJ441" s="8">
        <v>1</v>
      </c>
      <c r="AK441" s="8">
        <v>1</v>
      </c>
      <c r="AR441" s="8">
        <v>3050</v>
      </c>
      <c r="AS441" s="8">
        <v>1310</v>
      </c>
      <c r="AT441">
        <v>7795280</v>
      </c>
      <c r="AU441" s="8" t="s">
        <v>66</v>
      </c>
      <c r="AW441" s="8">
        <v>0</v>
      </c>
    </row>
    <row r="442" spans="1:49" x14ac:dyDescent="0.25">
      <c r="A442" t="s">
        <v>1244</v>
      </c>
      <c r="C442" t="s">
        <v>1051</v>
      </c>
      <c r="D442" t="s">
        <v>1033</v>
      </c>
      <c r="E442">
        <v>0</v>
      </c>
      <c r="F442">
        <v>12.27</v>
      </c>
      <c r="G442">
        <v>750</v>
      </c>
      <c r="J442" t="s">
        <v>720</v>
      </c>
      <c r="K442" s="8">
        <v>1</v>
      </c>
      <c r="L442" s="8">
        <v>1</v>
      </c>
      <c r="M442" t="str">
        <f t="shared" si="6"/>
        <v>Stratifie-U705-Gris angora-ST9</v>
      </c>
      <c r="N442" s="8">
        <v>0</v>
      </c>
      <c r="O442" s="8">
        <v>1</v>
      </c>
      <c r="P442" s="8">
        <v>0</v>
      </c>
      <c r="Q442" s="8" t="s">
        <v>1035</v>
      </c>
      <c r="R442" s="8" t="s">
        <v>62</v>
      </c>
      <c r="AB442" t="s">
        <v>721</v>
      </c>
      <c r="AD442" t="s">
        <v>722</v>
      </c>
      <c r="AE442" s="8">
        <v>1</v>
      </c>
      <c r="AF442" s="8">
        <v>0</v>
      </c>
      <c r="AG442" s="8" t="s">
        <v>65</v>
      </c>
      <c r="AH442" s="8">
        <v>1</v>
      </c>
      <c r="AI442" s="8">
        <v>1</v>
      </c>
      <c r="AJ442" s="8">
        <v>1</v>
      </c>
      <c r="AK442" s="8">
        <v>1</v>
      </c>
      <c r="AR442" s="8">
        <v>3050</v>
      </c>
      <c r="AS442" s="8">
        <v>1310</v>
      </c>
      <c r="AT442">
        <v>7795231</v>
      </c>
      <c r="AU442" s="8" t="s">
        <v>66</v>
      </c>
      <c r="AW442" s="8">
        <v>0</v>
      </c>
    </row>
    <row r="443" spans="1:49" x14ac:dyDescent="0.25">
      <c r="A443" t="s">
        <v>1245</v>
      </c>
      <c r="C443" t="s">
        <v>1051</v>
      </c>
      <c r="D443" t="s">
        <v>1033</v>
      </c>
      <c r="E443">
        <v>0</v>
      </c>
      <c r="F443">
        <v>17.38</v>
      </c>
      <c r="G443">
        <v>750</v>
      </c>
      <c r="J443" t="s">
        <v>724</v>
      </c>
      <c r="K443" s="8">
        <v>1</v>
      </c>
      <c r="L443" s="8">
        <v>1</v>
      </c>
      <c r="M443" t="str">
        <f t="shared" si="6"/>
        <v>Stratifie-U707-Soie grise-ST9</v>
      </c>
      <c r="N443" s="8">
        <v>0</v>
      </c>
      <c r="O443" s="8">
        <v>1</v>
      </c>
      <c r="P443" s="8">
        <v>0</v>
      </c>
      <c r="Q443" s="8" t="s">
        <v>1035</v>
      </c>
      <c r="R443" s="8" t="s">
        <v>62</v>
      </c>
      <c r="AB443" t="s">
        <v>725</v>
      </c>
      <c r="AD443" t="s">
        <v>726</v>
      </c>
      <c r="AE443" s="8">
        <v>1</v>
      </c>
      <c r="AF443" s="8">
        <v>0</v>
      </c>
      <c r="AG443" s="8" t="s">
        <v>65</v>
      </c>
      <c r="AH443" s="8">
        <v>1</v>
      </c>
      <c r="AI443" s="8">
        <v>1</v>
      </c>
      <c r="AJ443" s="8">
        <v>1</v>
      </c>
      <c r="AK443" s="8">
        <v>1</v>
      </c>
      <c r="AR443" s="8">
        <v>3050</v>
      </c>
      <c r="AS443" s="8">
        <v>1310</v>
      </c>
      <c r="AT443">
        <v>7795303</v>
      </c>
      <c r="AU443" s="8" t="s">
        <v>66</v>
      </c>
      <c r="AW443" s="8">
        <v>0</v>
      </c>
    </row>
    <row r="444" spans="1:49" x14ac:dyDescent="0.25">
      <c r="A444" t="s">
        <v>1246</v>
      </c>
      <c r="C444" t="s">
        <v>1051</v>
      </c>
      <c r="D444" t="s">
        <v>1033</v>
      </c>
      <c r="E444">
        <v>0</v>
      </c>
      <c r="F444">
        <v>12.27</v>
      </c>
      <c r="G444">
        <v>750</v>
      </c>
      <c r="J444" t="s">
        <v>728</v>
      </c>
      <c r="K444" s="8">
        <v>1</v>
      </c>
      <c r="L444" s="8">
        <v>1</v>
      </c>
      <c r="M444" t="str">
        <f t="shared" si="6"/>
        <v>Stratifie-U708-Gris clair-ST9</v>
      </c>
      <c r="N444" s="8">
        <v>0</v>
      </c>
      <c r="O444" s="8">
        <v>1</v>
      </c>
      <c r="P444" s="8">
        <v>0</v>
      </c>
      <c r="Q444" s="8" t="s">
        <v>1035</v>
      </c>
      <c r="R444" s="8" t="s">
        <v>62</v>
      </c>
      <c r="AB444" t="s">
        <v>729</v>
      </c>
      <c r="AD444" t="s">
        <v>730</v>
      </c>
      <c r="AE444" s="8">
        <v>1</v>
      </c>
      <c r="AF444" s="8">
        <v>0</v>
      </c>
      <c r="AG444" s="8" t="s">
        <v>65</v>
      </c>
      <c r="AH444" s="8">
        <v>1</v>
      </c>
      <c r="AI444" s="8">
        <v>1</v>
      </c>
      <c r="AJ444" s="8">
        <v>1</v>
      </c>
      <c r="AK444" s="8">
        <v>1</v>
      </c>
      <c r="AR444" s="8">
        <v>3050</v>
      </c>
      <c r="AS444" s="8">
        <v>1310</v>
      </c>
      <c r="AT444">
        <v>7730762</v>
      </c>
      <c r="AU444" s="8" t="s">
        <v>66</v>
      </c>
      <c r="AW444" s="8">
        <v>0</v>
      </c>
    </row>
    <row r="445" spans="1:49" x14ac:dyDescent="0.25">
      <c r="A445" t="s">
        <v>1247</v>
      </c>
      <c r="C445" t="s">
        <v>1051</v>
      </c>
      <c r="D445" t="s">
        <v>1033</v>
      </c>
      <c r="E445">
        <v>0</v>
      </c>
      <c r="F445">
        <v>12.27</v>
      </c>
      <c r="G445">
        <v>750</v>
      </c>
      <c r="J445" t="s">
        <v>732</v>
      </c>
      <c r="K445" s="8">
        <v>1</v>
      </c>
      <c r="L445" s="8">
        <v>1</v>
      </c>
      <c r="M445" t="str">
        <f t="shared" si="6"/>
        <v>Stratifie-U727-Gris argile-ST9</v>
      </c>
      <c r="N445" s="8">
        <v>0</v>
      </c>
      <c r="O445" s="8">
        <v>1</v>
      </c>
      <c r="P445" s="8">
        <v>0</v>
      </c>
      <c r="Q445" s="8" t="s">
        <v>1035</v>
      </c>
      <c r="R445" s="8" t="s">
        <v>62</v>
      </c>
      <c r="AB445" t="s">
        <v>733</v>
      </c>
      <c r="AD445" t="s">
        <v>734</v>
      </c>
      <c r="AE445" s="8">
        <v>1</v>
      </c>
      <c r="AF445" s="8">
        <v>0</v>
      </c>
      <c r="AG445" s="8" t="s">
        <v>65</v>
      </c>
      <c r="AH445" s="8">
        <v>1</v>
      </c>
      <c r="AI445" s="8">
        <v>1</v>
      </c>
      <c r="AJ445" s="8">
        <v>1</v>
      </c>
      <c r="AK445" s="8">
        <v>1</v>
      </c>
      <c r="AR445" s="8">
        <v>3050</v>
      </c>
      <c r="AS445" s="8">
        <v>1310</v>
      </c>
      <c r="AT445">
        <v>7730764</v>
      </c>
      <c r="AU445" s="8" t="s">
        <v>66</v>
      </c>
      <c r="AW445" s="8">
        <v>0</v>
      </c>
    </row>
    <row r="446" spans="1:49" x14ac:dyDescent="0.25">
      <c r="A446" t="s">
        <v>1248</v>
      </c>
      <c r="C446" t="s">
        <v>1051</v>
      </c>
      <c r="D446" t="s">
        <v>1033</v>
      </c>
      <c r="E446">
        <v>0</v>
      </c>
      <c r="F446">
        <v>12.27</v>
      </c>
      <c r="G446">
        <v>750</v>
      </c>
      <c r="J446" t="s">
        <v>736</v>
      </c>
      <c r="K446" s="8">
        <v>1</v>
      </c>
      <c r="L446" s="8">
        <v>1</v>
      </c>
      <c r="M446" t="str">
        <f t="shared" si="6"/>
        <v>Stratifie-U732-Gris macadam-ST9</v>
      </c>
      <c r="N446" s="8">
        <v>0</v>
      </c>
      <c r="O446" s="8">
        <v>1</v>
      </c>
      <c r="P446" s="8">
        <v>0</v>
      </c>
      <c r="Q446" s="8" t="s">
        <v>1035</v>
      </c>
      <c r="R446" s="8" t="s">
        <v>62</v>
      </c>
      <c r="AB446" t="s">
        <v>737</v>
      </c>
      <c r="AD446" t="s">
        <v>738</v>
      </c>
      <c r="AE446" s="8">
        <v>1</v>
      </c>
      <c r="AF446" s="8">
        <v>0</v>
      </c>
      <c r="AG446" s="8" t="s">
        <v>65</v>
      </c>
      <c r="AH446" s="8">
        <v>1</v>
      </c>
      <c r="AI446" s="8">
        <v>1</v>
      </c>
      <c r="AJ446" s="8">
        <v>1</v>
      </c>
      <c r="AK446" s="8">
        <v>1</v>
      </c>
      <c r="AR446" s="8">
        <v>3050</v>
      </c>
      <c r="AS446" s="8">
        <v>1310</v>
      </c>
      <c r="AT446">
        <v>7730766</v>
      </c>
      <c r="AU446" s="8" t="s">
        <v>66</v>
      </c>
      <c r="AW446" s="8">
        <v>0</v>
      </c>
    </row>
    <row r="447" spans="1:49" x14ac:dyDescent="0.25">
      <c r="A447" t="s">
        <v>1249</v>
      </c>
      <c r="C447" t="s">
        <v>1051</v>
      </c>
      <c r="D447" t="s">
        <v>1033</v>
      </c>
      <c r="E447">
        <v>0</v>
      </c>
      <c r="F447">
        <v>13.6</v>
      </c>
      <c r="G447">
        <v>750</v>
      </c>
      <c r="J447" t="s">
        <v>740</v>
      </c>
      <c r="K447" s="8">
        <v>1</v>
      </c>
      <c r="L447" s="8">
        <v>1</v>
      </c>
      <c r="M447" t="str">
        <f t="shared" si="6"/>
        <v>Stratifie-U740-Gris argile fonce-ST9</v>
      </c>
      <c r="N447" s="8">
        <v>0</v>
      </c>
      <c r="O447" s="8">
        <v>1</v>
      </c>
      <c r="P447" s="8">
        <v>0</v>
      </c>
      <c r="Q447" s="8" t="s">
        <v>1035</v>
      </c>
      <c r="R447" s="8" t="s">
        <v>62</v>
      </c>
      <c r="AB447" t="s">
        <v>741</v>
      </c>
      <c r="AD447" t="s">
        <v>742</v>
      </c>
      <c r="AE447" s="8">
        <v>1</v>
      </c>
      <c r="AF447" s="8">
        <v>0</v>
      </c>
      <c r="AG447" s="8" t="s">
        <v>65</v>
      </c>
      <c r="AH447" s="8">
        <v>1</v>
      </c>
      <c r="AI447" s="8">
        <v>1</v>
      </c>
      <c r="AJ447" s="8">
        <v>1</v>
      </c>
      <c r="AK447" s="8">
        <v>1</v>
      </c>
      <c r="AR447" s="8">
        <v>3050</v>
      </c>
      <c r="AS447" s="8">
        <v>1310</v>
      </c>
      <c r="AT447">
        <v>7795234</v>
      </c>
      <c r="AU447" s="8" t="s">
        <v>66</v>
      </c>
      <c r="AW447" s="8">
        <v>0</v>
      </c>
    </row>
    <row r="448" spans="1:49" x14ac:dyDescent="0.25">
      <c r="A448" t="s">
        <v>1250</v>
      </c>
      <c r="C448" t="s">
        <v>1051</v>
      </c>
      <c r="D448" t="s">
        <v>1033</v>
      </c>
      <c r="E448">
        <v>0</v>
      </c>
      <c r="F448">
        <v>20.36</v>
      </c>
      <c r="G448">
        <v>750</v>
      </c>
      <c r="J448" t="s">
        <v>744</v>
      </c>
      <c r="K448" s="8">
        <v>1</v>
      </c>
      <c r="L448" s="8">
        <v>1</v>
      </c>
      <c r="M448" t="str">
        <f t="shared" si="6"/>
        <v>Stratifie-U741-Brun taupe-ST9</v>
      </c>
      <c r="N448" s="8">
        <v>0</v>
      </c>
      <c r="O448" s="8">
        <v>1</v>
      </c>
      <c r="P448" s="8">
        <v>0</v>
      </c>
      <c r="Q448" s="8" t="s">
        <v>1035</v>
      </c>
      <c r="R448" s="8" t="s">
        <v>62</v>
      </c>
      <c r="AB448" t="s">
        <v>745</v>
      </c>
      <c r="AD448" t="s">
        <v>746</v>
      </c>
      <c r="AE448" s="8">
        <v>1</v>
      </c>
      <c r="AF448" s="8">
        <v>0</v>
      </c>
      <c r="AG448" s="8" t="s">
        <v>65</v>
      </c>
      <c r="AH448" s="8">
        <v>1</v>
      </c>
      <c r="AI448" s="8">
        <v>1</v>
      </c>
      <c r="AJ448" s="8">
        <v>1</v>
      </c>
      <c r="AK448" s="8">
        <v>1</v>
      </c>
      <c r="AR448" s="8">
        <v>3050</v>
      </c>
      <c r="AS448" s="8">
        <v>1310</v>
      </c>
      <c r="AT448">
        <v>7795307</v>
      </c>
      <c r="AU448" s="8" t="s">
        <v>66</v>
      </c>
      <c r="AW448" s="8">
        <v>0</v>
      </c>
    </row>
    <row r="449" spans="1:49" x14ac:dyDescent="0.25">
      <c r="A449" t="s">
        <v>1251</v>
      </c>
      <c r="C449" t="s">
        <v>1051</v>
      </c>
      <c r="D449" t="s">
        <v>1033</v>
      </c>
      <c r="E449">
        <v>0</v>
      </c>
      <c r="F449">
        <v>13.6</v>
      </c>
      <c r="G449">
        <v>750</v>
      </c>
      <c r="J449" t="s">
        <v>748</v>
      </c>
      <c r="K449" s="8">
        <v>1</v>
      </c>
      <c r="L449" s="8">
        <v>1</v>
      </c>
      <c r="M449" t="str">
        <f t="shared" si="6"/>
        <v>Stratifie-U748-Brun sepia-ST9</v>
      </c>
      <c r="N449" s="8">
        <v>0</v>
      </c>
      <c r="O449" s="8">
        <v>1</v>
      </c>
      <c r="P449" s="8">
        <v>0</v>
      </c>
      <c r="Q449" s="8" t="s">
        <v>1035</v>
      </c>
      <c r="R449" s="8" t="s">
        <v>62</v>
      </c>
      <c r="AB449" t="s">
        <v>749</v>
      </c>
      <c r="AD449" t="s">
        <v>750</v>
      </c>
      <c r="AE449" s="8">
        <v>1</v>
      </c>
      <c r="AF449" s="8">
        <v>0</v>
      </c>
      <c r="AG449" s="8" t="s">
        <v>65</v>
      </c>
      <c r="AH449" s="8">
        <v>1</v>
      </c>
      <c r="AI449" s="8">
        <v>1</v>
      </c>
      <c r="AJ449" s="8">
        <v>1</v>
      </c>
      <c r="AK449" s="8">
        <v>1</v>
      </c>
      <c r="AR449" s="8">
        <v>3050</v>
      </c>
      <c r="AS449" s="8">
        <v>1310</v>
      </c>
      <c r="AT449">
        <v>7730768</v>
      </c>
      <c r="AU449" s="8" t="s">
        <v>66</v>
      </c>
      <c r="AW449" s="8">
        <v>0</v>
      </c>
    </row>
    <row r="450" spans="1:49" x14ac:dyDescent="0.25">
      <c r="A450" t="s">
        <v>1252</v>
      </c>
      <c r="C450" t="s">
        <v>1051</v>
      </c>
      <c r="D450" t="s">
        <v>1033</v>
      </c>
      <c r="E450">
        <v>0</v>
      </c>
      <c r="F450">
        <v>17.38</v>
      </c>
      <c r="G450">
        <v>750</v>
      </c>
      <c r="J450" t="s">
        <v>752</v>
      </c>
      <c r="K450" s="8">
        <v>1</v>
      </c>
      <c r="L450" s="8">
        <v>1</v>
      </c>
      <c r="M450" t="str">
        <f t="shared" si="6"/>
        <v>Stratifie-U750-Gris souris-ST9</v>
      </c>
      <c r="N450" s="8">
        <v>0</v>
      </c>
      <c r="O450" s="8">
        <v>1</v>
      </c>
      <c r="P450" s="8">
        <v>0</v>
      </c>
      <c r="Q450" s="8" t="s">
        <v>1035</v>
      </c>
      <c r="R450" s="8" t="s">
        <v>62</v>
      </c>
      <c r="AB450" t="s">
        <v>753</v>
      </c>
      <c r="AD450" t="s">
        <v>754</v>
      </c>
      <c r="AE450" s="8">
        <v>1</v>
      </c>
      <c r="AF450" s="8">
        <v>0</v>
      </c>
      <c r="AG450" s="8" t="s">
        <v>65</v>
      </c>
      <c r="AH450" s="8">
        <v>1</v>
      </c>
      <c r="AI450" s="8">
        <v>1</v>
      </c>
      <c r="AJ450" s="8">
        <v>1</v>
      </c>
      <c r="AK450" s="8">
        <v>1</v>
      </c>
      <c r="AR450" s="8">
        <v>3050</v>
      </c>
      <c r="AS450" s="8">
        <v>1310</v>
      </c>
      <c r="AT450">
        <v>7795308</v>
      </c>
      <c r="AU450" s="8" t="s">
        <v>66</v>
      </c>
      <c r="AW450" s="8">
        <v>0</v>
      </c>
    </row>
    <row r="451" spans="1:49" x14ac:dyDescent="0.25">
      <c r="A451" t="s">
        <v>1253</v>
      </c>
      <c r="C451" t="s">
        <v>1051</v>
      </c>
      <c r="D451" t="s">
        <v>1033</v>
      </c>
      <c r="E451">
        <v>0</v>
      </c>
      <c r="F451">
        <v>12.27</v>
      </c>
      <c r="G451">
        <v>750</v>
      </c>
      <c r="J451" t="s">
        <v>756</v>
      </c>
      <c r="K451" s="8">
        <v>1</v>
      </c>
      <c r="L451" s="8">
        <v>1</v>
      </c>
      <c r="M451" t="str">
        <f t="shared" si="6"/>
        <v>Stratifie-U763-Gris perle-ST9</v>
      </c>
      <c r="N451" s="8">
        <v>0</v>
      </c>
      <c r="O451" s="8">
        <v>1</v>
      </c>
      <c r="P451" s="8">
        <v>0</v>
      </c>
      <c r="Q451" s="8" t="s">
        <v>1035</v>
      </c>
      <c r="R451" s="8" t="s">
        <v>62</v>
      </c>
      <c r="AB451" t="s">
        <v>757</v>
      </c>
      <c r="AD451" t="s">
        <v>758</v>
      </c>
      <c r="AE451" s="8">
        <v>1</v>
      </c>
      <c r="AF451" s="8">
        <v>0</v>
      </c>
      <c r="AG451" s="8" t="s">
        <v>65</v>
      </c>
      <c r="AH451" s="8">
        <v>1</v>
      </c>
      <c r="AI451" s="8">
        <v>1</v>
      </c>
      <c r="AJ451" s="8">
        <v>1</v>
      </c>
      <c r="AK451" s="8">
        <v>1</v>
      </c>
      <c r="AR451" s="8">
        <v>3050</v>
      </c>
      <c r="AS451" s="8">
        <v>1310</v>
      </c>
      <c r="AT451">
        <v>7730770</v>
      </c>
      <c r="AU451" s="8" t="s">
        <v>66</v>
      </c>
      <c r="AW451" s="8">
        <v>0</v>
      </c>
    </row>
    <row r="452" spans="1:49" x14ac:dyDescent="0.25">
      <c r="A452" t="s">
        <v>1254</v>
      </c>
      <c r="C452" t="s">
        <v>1051</v>
      </c>
      <c r="D452" t="s">
        <v>1033</v>
      </c>
      <c r="E452">
        <v>0</v>
      </c>
      <c r="F452">
        <v>12.27</v>
      </c>
      <c r="G452">
        <v>750</v>
      </c>
      <c r="J452" t="s">
        <v>760</v>
      </c>
      <c r="K452" s="8">
        <v>1</v>
      </c>
      <c r="L452" s="8">
        <v>1</v>
      </c>
      <c r="M452" t="str">
        <f t="shared" si="6"/>
        <v>Stratifie-U767-Gris cubanite-ST9</v>
      </c>
      <c r="N452" s="8">
        <v>0</v>
      </c>
      <c r="O452" s="8">
        <v>1</v>
      </c>
      <c r="P452" s="8">
        <v>0</v>
      </c>
      <c r="Q452" s="8" t="s">
        <v>1035</v>
      </c>
      <c r="R452" s="8" t="s">
        <v>62</v>
      </c>
      <c r="AB452" t="s">
        <v>761</v>
      </c>
      <c r="AD452" t="s">
        <v>762</v>
      </c>
      <c r="AE452" s="8">
        <v>1</v>
      </c>
      <c r="AF452" s="8">
        <v>0</v>
      </c>
      <c r="AG452" s="8" t="s">
        <v>65</v>
      </c>
      <c r="AH452" s="8">
        <v>1</v>
      </c>
      <c r="AI452" s="8">
        <v>1</v>
      </c>
      <c r="AJ452" s="8">
        <v>1</v>
      </c>
      <c r="AK452" s="8">
        <v>1</v>
      </c>
      <c r="AR452" s="8">
        <v>3050</v>
      </c>
      <c r="AS452" s="8">
        <v>1310</v>
      </c>
      <c r="AT452">
        <v>7730771</v>
      </c>
      <c r="AU452" s="8" t="s">
        <v>66</v>
      </c>
      <c r="AW452" s="8">
        <v>0</v>
      </c>
    </row>
    <row r="453" spans="1:49" x14ac:dyDescent="0.25">
      <c r="A453" t="s">
        <v>1255</v>
      </c>
      <c r="C453" t="s">
        <v>1051</v>
      </c>
      <c r="D453" t="s">
        <v>1033</v>
      </c>
      <c r="E453">
        <v>0</v>
      </c>
      <c r="F453">
        <v>12.27</v>
      </c>
      <c r="G453">
        <v>750</v>
      </c>
      <c r="J453" t="s">
        <v>764</v>
      </c>
      <c r="K453" s="8">
        <v>1</v>
      </c>
      <c r="L453" s="8">
        <v>1</v>
      </c>
      <c r="M453" t="str">
        <f t="shared" ref="M453:M516" si="7">IF(ISNUMBER(SEARCH("Melamine",A453)),_xlfn.CONCAT(A453," ",D453," mm"),A453)</f>
        <v>Stratifie-U775-Gris brume-ST9</v>
      </c>
      <c r="N453" s="8">
        <v>0</v>
      </c>
      <c r="O453" s="8">
        <v>1</v>
      </c>
      <c r="P453" s="8">
        <v>0</v>
      </c>
      <c r="Q453" s="8" t="s">
        <v>1035</v>
      </c>
      <c r="R453" s="8" t="s">
        <v>62</v>
      </c>
      <c r="AB453" t="s">
        <v>765</v>
      </c>
      <c r="AD453" t="s">
        <v>766</v>
      </c>
      <c r="AE453" s="8">
        <v>1</v>
      </c>
      <c r="AF453" s="8">
        <v>0</v>
      </c>
      <c r="AG453" s="8" t="s">
        <v>65</v>
      </c>
      <c r="AH453" s="8">
        <v>1</v>
      </c>
      <c r="AI453" s="8">
        <v>1</v>
      </c>
      <c r="AJ453" s="8">
        <v>1</v>
      </c>
      <c r="AK453" s="8">
        <v>1</v>
      </c>
      <c r="AR453" s="8">
        <v>3050</v>
      </c>
      <c r="AS453" s="8">
        <v>1310</v>
      </c>
      <c r="AT453">
        <v>7730772</v>
      </c>
      <c r="AU453" s="8" t="s">
        <v>66</v>
      </c>
      <c r="AW453" s="8">
        <v>0</v>
      </c>
    </row>
    <row r="454" spans="1:49" x14ac:dyDescent="0.25">
      <c r="A454" t="s">
        <v>1256</v>
      </c>
      <c r="C454" t="s">
        <v>1051</v>
      </c>
      <c r="D454" t="s">
        <v>1033</v>
      </c>
      <c r="E454">
        <v>0</v>
      </c>
      <c r="F454">
        <v>13.6</v>
      </c>
      <c r="G454">
        <v>750</v>
      </c>
      <c r="J454" t="s">
        <v>768</v>
      </c>
      <c r="K454" s="8">
        <v>1</v>
      </c>
      <c r="L454" s="8">
        <v>1</v>
      </c>
      <c r="M454" t="str">
        <f t="shared" si="7"/>
        <v>Stratifie-U780-Gris celadon-ST9</v>
      </c>
      <c r="N454" s="8">
        <v>0</v>
      </c>
      <c r="O454" s="8">
        <v>1</v>
      </c>
      <c r="P454" s="8">
        <v>0</v>
      </c>
      <c r="Q454" s="8" t="s">
        <v>1035</v>
      </c>
      <c r="R454" s="8" t="s">
        <v>62</v>
      </c>
      <c r="AB454" t="s">
        <v>769</v>
      </c>
      <c r="AD454" t="s">
        <v>770</v>
      </c>
      <c r="AE454" s="8">
        <v>1</v>
      </c>
      <c r="AF454" s="8">
        <v>0</v>
      </c>
      <c r="AG454" s="8" t="s">
        <v>65</v>
      </c>
      <c r="AH454" s="8">
        <v>1</v>
      </c>
      <c r="AI454" s="8">
        <v>1</v>
      </c>
      <c r="AJ454" s="8">
        <v>1</v>
      </c>
      <c r="AK454" s="8">
        <v>1</v>
      </c>
      <c r="AR454" s="8">
        <v>3050</v>
      </c>
      <c r="AS454" s="8">
        <v>1310</v>
      </c>
      <c r="AT454">
        <v>7795235</v>
      </c>
      <c r="AU454" s="8" t="s">
        <v>66</v>
      </c>
      <c r="AW454" s="8">
        <v>0</v>
      </c>
    </row>
    <row r="455" spans="1:49" x14ac:dyDescent="0.25">
      <c r="A455" t="s">
        <v>1257</v>
      </c>
      <c r="C455" t="s">
        <v>1051</v>
      </c>
      <c r="D455" t="s">
        <v>1033</v>
      </c>
      <c r="E455">
        <v>0</v>
      </c>
      <c r="F455">
        <v>13.6</v>
      </c>
      <c r="G455">
        <v>750</v>
      </c>
      <c r="J455" t="s">
        <v>772</v>
      </c>
      <c r="K455" s="8">
        <v>1</v>
      </c>
      <c r="L455" s="8">
        <v>1</v>
      </c>
      <c r="M455" t="str">
        <f t="shared" si="7"/>
        <v>Stratifie-U788-Gris arctique-ST9</v>
      </c>
      <c r="N455" s="8">
        <v>0</v>
      </c>
      <c r="O455" s="8">
        <v>1</v>
      </c>
      <c r="P455" s="8">
        <v>0</v>
      </c>
      <c r="Q455" s="8" t="s">
        <v>1035</v>
      </c>
      <c r="R455" s="8" t="s">
        <v>62</v>
      </c>
      <c r="AB455" t="s">
        <v>773</v>
      </c>
      <c r="AD455" t="s">
        <v>774</v>
      </c>
      <c r="AE455" s="8">
        <v>1</v>
      </c>
      <c r="AF455" s="8">
        <v>0</v>
      </c>
      <c r="AG455" s="8" t="s">
        <v>65</v>
      </c>
      <c r="AH455" s="8">
        <v>1</v>
      </c>
      <c r="AI455" s="8">
        <v>1</v>
      </c>
      <c r="AJ455" s="8">
        <v>1</v>
      </c>
      <c r="AK455" s="8">
        <v>1</v>
      </c>
      <c r="AR455" s="8">
        <v>3050</v>
      </c>
      <c r="AS455" s="8">
        <v>1310</v>
      </c>
      <c r="AT455">
        <v>7730773</v>
      </c>
      <c r="AU455" s="8" t="s">
        <v>66</v>
      </c>
      <c r="AW455" s="8">
        <v>0</v>
      </c>
    </row>
    <row r="456" spans="1:49" x14ac:dyDescent="0.25">
      <c r="A456" t="s">
        <v>1258</v>
      </c>
      <c r="C456" t="s">
        <v>1051</v>
      </c>
      <c r="D456" t="s">
        <v>1033</v>
      </c>
      <c r="E456">
        <v>0</v>
      </c>
      <c r="F456">
        <v>13.6</v>
      </c>
      <c r="G456">
        <v>750</v>
      </c>
      <c r="J456" t="s">
        <v>776</v>
      </c>
      <c r="K456" s="8">
        <v>1</v>
      </c>
      <c r="L456" s="8">
        <v>1</v>
      </c>
      <c r="M456" t="str">
        <f t="shared" si="7"/>
        <v>Stratifie-U818-Marron fonce-ST9</v>
      </c>
      <c r="N456" s="8">
        <v>0</v>
      </c>
      <c r="O456" s="8">
        <v>1</v>
      </c>
      <c r="P456" s="8">
        <v>0</v>
      </c>
      <c r="Q456" s="8" t="s">
        <v>1035</v>
      </c>
      <c r="R456" s="8" t="s">
        <v>62</v>
      </c>
      <c r="AB456" t="s">
        <v>777</v>
      </c>
      <c r="AD456" t="s">
        <v>778</v>
      </c>
      <c r="AE456" s="8">
        <v>1</v>
      </c>
      <c r="AF456" s="8">
        <v>0</v>
      </c>
      <c r="AG456" s="8" t="s">
        <v>65</v>
      </c>
      <c r="AH456" s="8">
        <v>1</v>
      </c>
      <c r="AI456" s="8">
        <v>1</v>
      </c>
      <c r="AJ456" s="8">
        <v>1</v>
      </c>
      <c r="AK456" s="8">
        <v>1</v>
      </c>
      <c r="AR456" s="8">
        <v>3050</v>
      </c>
      <c r="AS456" s="8">
        <v>1310</v>
      </c>
      <c r="AT456">
        <v>7730775</v>
      </c>
      <c r="AU456" s="8" t="s">
        <v>66</v>
      </c>
      <c r="AW456" s="8">
        <v>0</v>
      </c>
    </row>
    <row r="457" spans="1:49" x14ac:dyDescent="0.25">
      <c r="A457" t="s">
        <v>1259</v>
      </c>
      <c r="C457" t="s">
        <v>1051</v>
      </c>
      <c r="D457" t="s">
        <v>1033</v>
      </c>
      <c r="E457">
        <v>0</v>
      </c>
      <c r="F457">
        <v>13.6</v>
      </c>
      <c r="G457">
        <v>750</v>
      </c>
      <c r="J457" t="s">
        <v>780</v>
      </c>
      <c r="K457" s="8">
        <v>1</v>
      </c>
      <c r="L457" s="8">
        <v>1</v>
      </c>
      <c r="M457" t="str">
        <f t="shared" si="7"/>
        <v>Stratifie-U830-Nude terracotta-ST9</v>
      </c>
      <c r="N457" s="8">
        <v>0</v>
      </c>
      <c r="O457" s="8">
        <v>1</v>
      </c>
      <c r="P457" s="8">
        <v>0</v>
      </c>
      <c r="Q457" s="8" t="s">
        <v>1035</v>
      </c>
      <c r="R457" s="8" t="s">
        <v>62</v>
      </c>
      <c r="AB457" t="s">
        <v>781</v>
      </c>
      <c r="AD457" t="s">
        <v>782</v>
      </c>
      <c r="AE457" s="8">
        <v>1</v>
      </c>
      <c r="AF457" s="8">
        <v>0</v>
      </c>
      <c r="AG457" s="8" t="s">
        <v>65</v>
      </c>
      <c r="AH457" s="8">
        <v>1</v>
      </c>
      <c r="AI457" s="8">
        <v>1</v>
      </c>
      <c r="AJ457" s="8">
        <v>1</v>
      </c>
      <c r="AK457" s="8">
        <v>1</v>
      </c>
      <c r="AR457" s="8">
        <v>3050</v>
      </c>
      <c r="AS457" s="8">
        <v>1310</v>
      </c>
      <c r="AT457">
        <v>7795236</v>
      </c>
      <c r="AU457" s="8" t="s">
        <v>66</v>
      </c>
      <c r="AW457" s="8">
        <v>0</v>
      </c>
    </row>
    <row r="458" spans="1:49" x14ac:dyDescent="0.25">
      <c r="A458" t="s">
        <v>1260</v>
      </c>
      <c r="C458" t="s">
        <v>1051</v>
      </c>
      <c r="D458" t="s">
        <v>1033</v>
      </c>
      <c r="E458">
        <v>0</v>
      </c>
      <c r="F458">
        <v>12.27</v>
      </c>
      <c r="G458">
        <v>750</v>
      </c>
      <c r="J458" t="s">
        <v>784</v>
      </c>
      <c r="K458" s="8">
        <v>1</v>
      </c>
      <c r="L458" s="8">
        <v>1</v>
      </c>
      <c r="M458" t="str">
        <f t="shared" si="7"/>
        <v>Stratifie-U899-Soft Black-ST9</v>
      </c>
      <c r="N458" s="8">
        <v>0</v>
      </c>
      <c r="O458" s="8">
        <v>1</v>
      </c>
      <c r="P458" s="8">
        <v>0</v>
      </c>
      <c r="Q458" s="8" t="s">
        <v>1035</v>
      </c>
      <c r="R458" s="8" t="s">
        <v>62</v>
      </c>
      <c r="AB458" t="s">
        <v>785</v>
      </c>
      <c r="AD458" t="s">
        <v>786</v>
      </c>
      <c r="AE458" s="8">
        <v>1</v>
      </c>
      <c r="AF458" s="8">
        <v>0</v>
      </c>
      <c r="AG458" s="8" t="s">
        <v>65</v>
      </c>
      <c r="AH458" s="8">
        <v>1</v>
      </c>
      <c r="AI458" s="8">
        <v>1</v>
      </c>
      <c r="AJ458" s="8">
        <v>1</v>
      </c>
      <c r="AK458" s="8">
        <v>1</v>
      </c>
      <c r="AR458" s="8">
        <v>3050</v>
      </c>
      <c r="AS458" s="8">
        <v>1310</v>
      </c>
      <c r="AT458">
        <v>7730776</v>
      </c>
      <c r="AU458" s="8" t="s">
        <v>66</v>
      </c>
      <c r="AW458" s="8">
        <v>0</v>
      </c>
    </row>
    <row r="459" spans="1:49" x14ac:dyDescent="0.25">
      <c r="A459" t="s">
        <v>1261</v>
      </c>
      <c r="C459" t="s">
        <v>1051</v>
      </c>
      <c r="D459" t="s">
        <v>1033</v>
      </c>
      <c r="E459">
        <v>0</v>
      </c>
      <c r="F459">
        <v>13.6</v>
      </c>
      <c r="G459">
        <v>750</v>
      </c>
      <c r="J459" t="s">
        <v>788</v>
      </c>
      <c r="K459" s="8">
        <v>1</v>
      </c>
      <c r="L459" s="8">
        <v>1</v>
      </c>
      <c r="M459" t="str">
        <f t="shared" si="7"/>
        <v>Stratifie-U960-Gris onyx-ST9</v>
      </c>
      <c r="N459" s="8">
        <v>0</v>
      </c>
      <c r="O459" s="8">
        <v>1</v>
      </c>
      <c r="P459" s="8">
        <v>0</v>
      </c>
      <c r="Q459" s="8" t="s">
        <v>1035</v>
      </c>
      <c r="R459" s="8" t="s">
        <v>62</v>
      </c>
      <c r="AB459" t="s">
        <v>789</v>
      </c>
      <c r="AD459" t="s">
        <v>790</v>
      </c>
      <c r="AE459" s="8">
        <v>1</v>
      </c>
      <c r="AF459" s="8">
        <v>0</v>
      </c>
      <c r="AG459" s="8" t="s">
        <v>65</v>
      </c>
      <c r="AH459" s="8">
        <v>1</v>
      </c>
      <c r="AI459" s="8">
        <v>1</v>
      </c>
      <c r="AJ459" s="8">
        <v>1</v>
      </c>
      <c r="AK459" s="8">
        <v>1</v>
      </c>
      <c r="AR459" s="8">
        <v>3050</v>
      </c>
      <c r="AS459" s="8">
        <v>1310</v>
      </c>
      <c r="AT459">
        <v>7730777</v>
      </c>
      <c r="AU459" s="8" t="s">
        <v>66</v>
      </c>
      <c r="AW459" s="8">
        <v>0</v>
      </c>
    </row>
    <row r="460" spans="1:49" x14ac:dyDescent="0.25">
      <c r="A460" t="s">
        <v>1262</v>
      </c>
      <c r="C460" t="s">
        <v>1051</v>
      </c>
      <c r="D460" t="s">
        <v>1033</v>
      </c>
      <c r="E460">
        <v>0</v>
      </c>
      <c r="F460">
        <v>12.27</v>
      </c>
      <c r="G460">
        <v>750</v>
      </c>
      <c r="J460" t="s">
        <v>792</v>
      </c>
      <c r="K460" s="8">
        <v>1</v>
      </c>
      <c r="L460" s="8">
        <v>1</v>
      </c>
      <c r="M460" t="str">
        <f t="shared" si="7"/>
        <v>Stratifie-U961-Gris graphite-ST7</v>
      </c>
      <c r="N460" s="8">
        <v>0</v>
      </c>
      <c r="O460" s="8">
        <v>1</v>
      </c>
      <c r="P460" s="8">
        <v>0</v>
      </c>
      <c r="Q460" s="8" t="s">
        <v>1035</v>
      </c>
      <c r="R460" s="8" t="s">
        <v>62</v>
      </c>
      <c r="AB460" t="s">
        <v>793</v>
      </c>
      <c r="AD460" t="s">
        <v>794</v>
      </c>
      <c r="AE460" s="8">
        <v>1</v>
      </c>
      <c r="AF460" s="8">
        <v>0</v>
      </c>
      <c r="AG460" s="8" t="s">
        <v>65</v>
      </c>
      <c r="AH460" s="8">
        <v>1</v>
      </c>
      <c r="AI460" s="8">
        <v>1</v>
      </c>
      <c r="AJ460" s="8">
        <v>1</v>
      </c>
      <c r="AK460" s="8">
        <v>1</v>
      </c>
      <c r="AR460" s="8">
        <v>3050</v>
      </c>
      <c r="AS460" s="8">
        <v>1310</v>
      </c>
      <c r="AT460">
        <v>4751071</v>
      </c>
      <c r="AU460" s="8" t="s">
        <v>66</v>
      </c>
      <c r="AW460" s="8">
        <v>0</v>
      </c>
    </row>
    <row r="461" spans="1:49" x14ac:dyDescent="0.25">
      <c r="A461" t="s">
        <v>1263</v>
      </c>
      <c r="C461" t="s">
        <v>1051</v>
      </c>
      <c r="D461" t="s">
        <v>1033</v>
      </c>
      <c r="E461">
        <v>0</v>
      </c>
      <c r="F461">
        <v>12.27</v>
      </c>
      <c r="G461">
        <v>750</v>
      </c>
      <c r="J461" t="s">
        <v>796</v>
      </c>
      <c r="K461" s="8">
        <v>1</v>
      </c>
      <c r="L461" s="8">
        <v>1</v>
      </c>
      <c r="M461" t="str">
        <f t="shared" si="7"/>
        <v>Stratifie-U963-Gris ombre-ST9</v>
      </c>
      <c r="N461" s="8">
        <v>0</v>
      </c>
      <c r="O461" s="8">
        <v>1</v>
      </c>
      <c r="P461" s="8">
        <v>0</v>
      </c>
      <c r="Q461" s="8" t="s">
        <v>1035</v>
      </c>
      <c r="R461" s="8" t="s">
        <v>62</v>
      </c>
      <c r="AB461" t="s">
        <v>797</v>
      </c>
      <c r="AD461" t="s">
        <v>798</v>
      </c>
      <c r="AE461" s="8">
        <v>1</v>
      </c>
      <c r="AF461" s="8">
        <v>0</v>
      </c>
      <c r="AG461" s="8" t="s">
        <v>65</v>
      </c>
      <c r="AH461" s="8">
        <v>1</v>
      </c>
      <c r="AI461" s="8">
        <v>1</v>
      </c>
      <c r="AJ461" s="8">
        <v>1</v>
      </c>
      <c r="AK461" s="8">
        <v>1</v>
      </c>
      <c r="AR461" s="8">
        <v>3050</v>
      </c>
      <c r="AS461" s="8">
        <v>1310</v>
      </c>
      <c r="AT461">
        <v>7730780</v>
      </c>
      <c r="AU461" s="8" t="s">
        <v>66</v>
      </c>
      <c r="AW461" s="8">
        <v>0</v>
      </c>
    </row>
    <row r="462" spans="1:49" x14ac:dyDescent="0.25">
      <c r="A462" t="s">
        <v>1264</v>
      </c>
      <c r="C462" t="s">
        <v>1051</v>
      </c>
      <c r="D462" t="s">
        <v>1033</v>
      </c>
      <c r="E462">
        <v>0</v>
      </c>
      <c r="F462">
        <v>13.6</v>
      </c>
      <c r="G462">
        <v>750</v>
      </c>
      <c r="J462" t="s">
        <v>800</v>
      </c>
      <c r="K462" s="8">
        <v>1</v>
      </c>
      <c r="L462" s="8">
        <v>1</v>
      </c>
      <c r="M462" t="str">
        <f t="shared" si="7"/>
        <v>Stratifie-U968-Gris carbone-ST9</v>
      </c>
      <c r="N462" s="8">
        <v>0</v>
      </c>
      <c r="O462" s="8">
        <v>1</v>
      </c>
      <c r="P462" s="8">
        <v>0</v>
      </c>
      <c r="Q462" s="8" t="s">
        <v>1035</v>
      </c>
      <c r="R462" s="8" t="s">
        <v>62</v>
      </c>
      <c r="AB462" t="s">
        <v>801</v>
      </c>
      <c r="AD462" t="s">
        <v>802</v>
      </c>
      <c r="AE462" s="8">
        <v>1</v>
      </c>
      <c r="AF462" s="8">
        <v>0</v>
      </c>
      <c r="AG462" s="8" t="s">
        <v>65</v>
      </c>
      <c r="AH462" s="8">
        <v>1</v>
      </c>
      <c r="AI462" s="8">
        <v>1</v>
      </c>
      <c r="AJ462" s="8">
        <v>1</v>
      </c>
      <c r="AK462" s="8">
        <v>1</v>
      </c>
      <c r="AR462" s="8">
        <v>3050</v>
      </c>
      <c r="AS462" s="8">
        <v>1310</v>
      </c>
      <c r="AT462">
        <v>7795238</v>
      </c>
      <c r="AU462" s="8" t="s">
        <v>66</v>
      </c>
      <c r="AW462" s="8">
        <v>0</v>
      </c>
    </row>
    <row r="463" spans="1:49" x14ac:dyDescent="0.25">
      <c r="A463" t="s">
        <v>1265</v>
      </c>
      <c r="C463" t="s">
        <v>1051</v>
      </c>
      <c r="D463" t="s">
        <v>1033</v>
      </c>
      <c r="E463">
        <v>0</v>
      </c>
      <c r="F463">
        <v>13.6</v>
      </c>
      <c r="G463">
        <v>750</v>
      </c>
      <c r="J463" t="s">
        <v>804</v>
      </c>
      <c r="K463" s="8">
        <v>1</v>
      </c>
      <c r="L463" s="8">
        <v>1</v>
      </c>
      <c r="M463" t="str">
        <f t="shared" si="7"/>
        <v>Stratifie-U989-Brun noir-ST9</v>
      </c>
      <c r="N463" s="8">
        <v>0</v>
      </c>
      <c r="O463" s="8">
        <v>1</v>
      </c>
      <c r="P463" s="8">
        <v>0</v>
      </c>
      <c r="Q463" s="8" t="s">
        <v>1035</v>
      </c>
      <c r="R463" s="8" t="s">
        <v>62</v>
      </c>
      <c r="AB463" t="s">
        <v>805</v>
      </c>
      <c r="AD463" t="s">
        <v>806</v>
      </c>
      <c r="AE463" s="8">
        <v>1</v>
      </c>
      <c r="AF463" s="8">
        <v>0</v>
      </c>
      <c r="AG463" s="8" t="s">
        <v>65</v>
      </c>
      <c r="AH463" s="8">
        <v>1</v>
      </c>
      <c r="AI463" s="8">
        <v>1</v>
      </c>
      <c r="AJ463" s="8">
        <v>1</v>
      </c>
      <c r="AK463" s="8">
        <v>1</v>
      </c>
      <c r="AR463" s="8">
        <v>3050</v>
      </c>
      <c r="AS463" s="8">
        <v>1310</v>
      </c>
      <c r="AT463">
        <v>7730781</v>
      </c>
      <c r="AU463" s="8" t="s">
        <v>66</v>
      </c>
      <c r="AW463" s="8">
        <v>0</v>
      </c>
    </row>
    <row r="464" spans="1:49" x14ac:dyDescent="0.25">
      <c r="A464" t="s">
        <v>1266</v>
      </c>
      <c r="C464" t="s">
        <v>1051</v>
      </c>
      <c r="D464" t="s">
        <v>1033</v>
      </c>
      <c r="E464">
        <v>0</v>
      </c>
      <c r="F464">
        <v>20.78</v>
      </c>
      <c r="G464">
        <v>750</v>
      </c>
      <c r="J464" t="s">
        <v>808</v>
      </c>
      <c r="K464" s="8">
        <v>1</v>
      </c>
      <c r="L464" s="8">
        <v>1</v>
      </c>
      <c r="M464" t="str">
        <f t="shared" si="7"/>
        <v>Stratifie-U998-Reflet noir-ST38</v>
      </c>
      <c r="N464" s="8">
        <v>0</v>
      </c>
      <c r="O464" s="8">
        <v>1</v>
      </c>
      <c r="P464" s="8">
        <v>0</v>
      </c>
      <c r="Q464" s="8" t="s">
        <v>1035</v>
      </c>
      <c r="R464" s="8" t="s">
        <v>62</v>
      </c>
      <c r="AB464" t="s">
        <v>809</v>
      </c>
      <c r="AD464" t="s">
        <v>810</v>
      </c>
      <c r="AE464" s="8">
        <v>1</v>
      </c>
      <c r="AF464" s="8">
        <v>0</v>
      </c>
      <c r="AG464" s="8" t="s">
        <v>65</v>
      </c>
      <c r="AH464" s="8">
        <v>1</v>
      </c>
      <c r="AI464" s="8">
        <v>1</v>
      </c>
      <c r="AJ464" s="8">
        <v>1</v>
      </c>
      <c r="AK464" s="8">
        <v>1</v>
      </c>
      <c r="AR464" s="8">
        <v>3050</v>
      </c>
      <c r="AS464" s="8">
        <v>1310</v>
      </c>
      <c r="AT464">
        <v>7795259</v>
      </c>
      <c r="AU464" s="8" t="s">
        <v>66</v>
      </c>
      <c r="AW464" s="8">
        <v>0</v>
      </c>
    </row>
    <row r="465" spans="1:49" x14ac:dyDescent="0.25">
      <c r="A465" t="s">
        <v>1267</v>
      </c>
      <c r="C465" t="s">
        <v>1051</v>
      </c>
      <c r="D465" t="s">
        <v>1033</v>
      </c>
      <c r="E465">
        <v>0</v>
      </c>
      <c r="F465">
        <v>12.27</v>
      </c>
      <c r="G465">
        <v>750</v>
      </c>
      <c r="J465" t="s">
        <v>812</v>
      </c>
      <c r="K465" s="8">
        <v>1</v>
      </c>
      <c r="L465" s="8">
        <v>1</v>
      </c>
      <c r="M465" t="str">
        <f t="shared" si="7"/>
        <v>Stratifie-U999-Noir-ST12</v>
      </c>
      <c r="N465" s="8">
        <v>0</v>
      </c>
      <c r="O465" s="8">
        <v>1</v>
      </c>
      <c r="P465" s="8">
        <v>0</v>
      </c>
      <c r="Q465" s="8" t="s">
        <v>1035</v>
      </c>
      <c r="R465" s="8" t="s">
        <v>62</v>
      </c>
      <c r="AB465" t="s">
        <v>813</v>
      </c>
      <c r="AD465" t="s">
        <v>814</v>
      </c>
      <c r="AE465" s="8">
        <v>1</v>
      </c>
      <c r="AF465" s="8">
        <v>0</v>
      </c>
      <c r="AG465" s="8" t="s">
        <v>65</v>
      </c>
      <c r="AH465" s="8">
        <v>1</v>
      </c>
      <c r="AI465" s="8">
        <v>1</v>
      </c>
      <c r="AJ465" s="8">
        <v>1</v>
      </c>
      <c r="AK465" s="8">
        <v>1</v>
      </c>
      <c r="AR465" s="8">
        <v>3050</v>
      </c>
      <c r="AS465" s="8">
        <v>1310</v>
      </c>
      <c r="AT465">
        <v>4751072</v>
      </c>
      <c r="AU465" s="8" t="s">
        <v>66</v>
      </c>
      <c r="AW465" s="8">
        <v>0</v>
      </c>
    </row>
    <row r="466" spans="1:49" x14ac:dyDescent="0.25">
      <c r="A466" t="s">
        <v>1268</v>
      </c>
      <c r="C466" t="s">
        <v>1051</v>
      </c>
      <c r="D466" t="s">
        <v>1033</v>
      </c>
      <c r="E466">
        <v>0</v>
      </c>
      <c r="F466">
        <v>12.27</v>
      </c>
      <c r="G466">
        <v>750</v>
      </c>
      <c r="J466" t="s">
        <v>812</v>
      </c>
      <c r="K466" s="8">
        <v>1</v>
      </c>
      <c r="L466" s="8">
        <v>1</v>
      </c>
      <c r="M466" t="str">
        <f t="shared" si="7"/>
        <v>Stratifie-U999-Noir-ST19</v>
      </c>
      <c r="N466" s="8">
        <v>0</v>
      </c>
      <c r="O466" s="8">
        <v>1</v>
      </c>
      <c r="P466" s="8">
        <v>0</v>
      </c>
      <c r="Q466" s="8" t="s">
        <v>1035</v>
      </c>
      <c r="R466" s="8" t="s">
        <v>62</v>
      </c>
      <c r="AB466" t="s">
        <v>816</v>
      </c>
      <c r="AD466" t="s">
        <v>817</v>
      </c>
      <c r="AE466" s="8">
        <v>1</v>
      </c>
      <c r="AF466" s="8">
        <v>0</v>
      </c>
      <c r="AG466" s="8" t="s">
        <v>65</v>
      </c>
      <c r="AH466" s="8">
        <v>1</v>
      </c>
      <c r="AI466" s="8">
        <v>1</v>
      </c>
      <c r="AJ466" s="8">
        <v>1</v>
      </c>
      <c r="AK466" s="8">
        <v>1</v>
      </c>
      <c r="AR466" s="8">
        <v>3050</v>
      </c>
      <c r="AS466" s="8">
        <v>1310</v>
      </c>
      <c r="AT466">
        <v>4751072</v>
      </c>
      <c r="AU466" s="8" t="s">
        <v>66</v>
      </c>
      <c r="AW466" s="8">
        <v>0</v>
      </c>
    </row>
    <row r="467" spans="1:49" x14ac:dyDescent="0.25">
      <c r="A467" t="s">
        <v>1269</v>
      </c>
      <c r="C467" t="s">
        <v>1051</v>
      </c>
      <c r="D467" t="s">
        <v>1033</v>
      </c>
      <c r="E467">
        <v>0</v>
      </c>
      <c r="F467">
        <v>12.27</v>
      </c>
      <c r="G467">
        <v>750</v>
      </c>
      <c r="J467" t="s">
        <v>812</v>
      </c>
      <c r="K467" s="8">
        <v>1</v>
      </c>
      <c r="L467" s="8">
        <v>1</v>
      </c>
      <c r="M467" t="str">
        <f t="shared" si="7"/>
        <v>Stratifie-U999-Noir-ST20</v>
      </c>
      <c r="N467" s="8">
        <v>0</v>
      </c>
      <c r="O467" s="8">
        <v>1</v>
      </c>
      <c r="P467" s="8">
        <v>0</v>
      </c>
      <c r="Q467" s="8" t="s">
        <v>1035</v>
      </c>
      <c r="R467" s="8" t="s">
        <v>62</v>
      </c>
      <c r="AB467" t="s">
        <v>819</v>
      </c>
      <c r="AD467" t="s">
        <v>820</v>
      </c>
      <c r="AE467" s="8">
        <v>1</v>
      </c>
      <c r="AF467" s="8">
        <v>0</v>
      </c>
      <c r="AG467" s="8" t="s">
        <v>65</v>
      </c>
      <c r="AH467" s="8">
        <v>1</v>
      </c>
      <c r="AI467" s="8">
        <v>1</v>
      </c>
      <c r="AJ467" s="8">
        <v>1</v>
      </c>
      <c r="AK467" s="8">
        <v>1</v>
      </c>
      <c r="AR467" s="8">
        <v>3050</v>
      </c>
      <c r="AS467" s="8">
        <v>1310</v>
      </c>
      <c r="AT467">
        <v>4751072</v>
      </c>
      <c r="AU467" s="8" t="s">
        <v>66</v>
      </c>
      <c r="AW467" s="8">
        <v>0</v>
      </c>
    </row>
    <row r="468" spans="1:49" x14ac:dyDescent="0.25">
      <c r="A468" t="s">
        <v>1270</v>
      </c>
      <c r="C468" t="s">
        <v>1051</v>
      </c>
      <c r="D468" t="s">
        <v>1033</v>
      </c>
      <c r="E468">
        <v>0</v>
      </c>
      <c r="F468">
        <v>12.27</v>
      </c>
      <c r="G468">
        <v>750</v>
      </c>
      <c r="J468" t="s">
        <v>812</v>
      </c>
      <c r="K468" s="8">
        <v>1</v>
      </c>
      <c r="L468" s="8">
        <v>1</v>
      </c>
      <c r="M468" t="str">
        <f t="shared" si="7"/>
        <v>Stratifie-U999-Noir-ST7</v>
      </c>
      <c r="N468" s="8">
        <v>0</v>
      </c>
      <c r="O468" s="8">
        <v>1</v>
      </c>
      <c r="P468" s="8">
        <v>0</v>
      </c>
      <c r="Q468" s="8" t="s">
        <v>1035</v>
      </c>
      <c r="R468" s="8" t="s">
        <v>62</v>
      </c>
      <c r="AB468" t="s">
        <v>822</v>
      </c>
      <c r="AD468" t="s">
        <v>823</v>
      </c>
      <c r="AE468" s="8">
        <v>1</v>
      </c>
      <c r="AF468" s="8">
        <v>0</v>
      </c>
      <c r="AG468" s="8" t="s">
        <v>65</v>
      </c>
      <c r="AH468" s="8">
        <v>1</v>
      </c>
      <c r="AI468" s="8">
        <v>1</v>
      </c>
      <c r="AJ468" s="8">
        <v>1</v>
      </c>
      <c r="AK468" s="8">
        <v>1</v>
      </c>
      <c r="AR468" s="8">
        <v>3050</v>
      </c>
      <c r="AS468" s="8">
        <v>1310</v>
      </c>
      <c r="AT468">
        <v>4751072</v>
      </c>
      <c r="AU468" s="8" t="s">
        <v>66</v>
      </c>
      <c r="AW468" s="8">
        <v>0</v>
      </c>
    </row>
    <row r="469" spans="1:49" x14ac:dyDescent="0.25">
      <c r="A469" t="s">
        <v>1271</v>
      </c>
      <c r="C469" t="s">
        <v>1051</v>
      </c>
      <c r="D469" t="s">
        <v>1033</v>
      </c>
      <c r="E469">
        <v>0</v>
      </c>
      <c r="F469">
        <v>16.2</v>
      </c>
      <c r="G469">
        <v>750</v>
      </c>
      <c r="J469" t="s">
        <v>825</v>
      </c>
      <c r="K469" s="8">
        <v>1</v>
      </c>
      <c r="L469" s="8">
        <v>1</v>
      </c>
      <c r="M469" t="str">
        <f t="shared" si="7"/>
        <v>Stratifie-W1000-Blanc premium-ST19</v>
      </c>
      <c r="N469" s="8">
        <v>0</v>
      </c>
      <c r="O469" s="8">
        <v>1</v>
      </c>
      <c r="P469" s="8">
        <v>0</v>
      </c>
      <c r="Q469" s="8" t="s">
        <v>1035</v>
      </c>
      <c r="R469" s="8" t="s">
        <v>62</v>
      </c>
      <c r="AB469" t="s">
        <v>826</v>
      </c>
      <c r="AD469" t="s">
        <v>827</v>
      </c>
      <c r="AE469" s="8">
        <v>1</v>
      </c>
      <c r="AF469" s="8">
        <v>0</v>
      </c>
      <c r="AG469" s="8" t="s">
        <v>65</v>
      </c>
      <c r="AH469" s="8">
        <v>1</v>
      </c>
      <c r="AI469" s="8">
        <v>1</v>
      </c>
      <c r="AJ469" s="8">
        <v>1</v>
      </c>
      <c r="AK469" s="8">
        <v>1</v>
      </c>
      <c r="AR469" s="8">
        <v>3050</v>
      </c>
      <c r="AS469" s="8">
        <v>1310</v>
      </c>
      <c r="AT469">
        <v>4850201</v>
      </c>
      <c r="AU469" s="8" t="s">
        <v>66</v>
      </c>
      <c r="AW469" s="8">
        <v>0</v>
      </c>
    </row>
    <row r="470" spans="1:49" x14ac:dyDescent="0.25">
      <c r="A470" t="s">
        <v>1272</v>
      </c>
      <c r="C470" t="s">
        <v>1051</v>
      </c>
      <c r="D470" t="s">
        <v>1033</v>
      </c>
      <c r="E470">
        <v>0</v>
      </c>
      <c r="F470">
        <v>16.2</v>
      </c>
      <c r="G470">
        <v>750</v>
      </c>
      <c r="J470" t="s">
        <v>825</v>
      </c>
      <c r="K470" s="8">
        <v>1</v>
      </c>
      <c r="L470" s="8">
        <v>1</v>
      </c>
      <c r="M470" t="str">
        <f t="shared" si="7"/>
        <v>Stratifie-W1000-Blanc premium-ST38</v>
      </c>
      <c r="N470" s="8">
        <v>0</v>
      </c>
      <c r="O470" s="8">
        <v>1</v>
      </c>
      <c r="P470" s="8">
        <v>0</v>
      </c>
      <c r="Q470" s="8" t="s">
        <v>1035</v>
      </c>
      <c r="R470" s="8" t="s">
        <v>62</v>
      </c>
      <c r="AB470" t="s">
        <v>829</v>
      </c>
      <c r="AD470" t="s">
        <v>830</v>
      </c>
      <c r="AE470" s="8">
        <v>1</v>
      </c>
      <c r="AF470" s="8">
        <v>0</v>
      </c>
      <c r="AG470" s="8" t="s">
        <v>65</v>
      </c>
      <c r="AH470" s="8">
        <v>1</v>
      </c>
      <c r="AI470" s="8">
        <v>1</v>
      </c>
      <c r="AJ470" s="8">
        <v>1</v>
      </c>
      <c r="AK470" s="8">
        <v>1</v>
      </c>
      <c r="AR470" s="8">
        <v>3050</v>
      </c>
      <c r="AS470" s="8">
        <v>1310</v>
      </c>
      <c r="AT470">
        <v>4850201</v>
      </c>
      <c r="AU470" s="8" t="s">
        <v>66</v>
      </c>
      <c r="AW470" s="8">
        <v>0</v>
      </c>
    </row>
    <row r="471" spans="1:49" x14ac:dyDescent="0.25">
      <c r="A471" t="s">
        <v>1273</v>
      </c>
      <c r="C471" t="s">
        <v>1051</v>
      </c>
      <c r="D471" t="s">
        <v>1033</v>
      </c>
      <c r="E471">
        <v>0</v>
      </c>
      <c r="F471">
        <v>16.2</v>
      </c>
      <c r="G471">
        <v>750</v>
      </c>
      <c r="J471" t="s">
        <v>825</v>
      </c>
      <c r="K471" s="8">
        <v>1</v>
      </c>
      <c r="L471" s="8">
        <v>1</v>
      </c>
      <c r="M471" t="str">
        <f t="shared" si="7"/>
        <v>Stratifie-W1000-Blanc premium-ST9</v>
      </c>
      <c r="N471" s="8">
        <v>0</v>
      </c>
      <c r="O471" s="8">
        <v>1</v>
      </c>
      <c r="P471" s="8">
        <v>0</v>
      </c>
      <c r="Q471" s="8" t="s">
        <v>1035</v>
      </c>
      <c r="R471" s="8" t="s">
        <v>62</v>
      </c>
      <c r="AB471" t="s">
        <v>832</v>
      </c>
      <c r="AD471" t="s">
        <v>833</v>
      </c>
      <c r="AE471" s="8">
        <v>1</v>
      </c>
      <c r="AF471" s="8">
        <v>0</v>
      </c>
      <c r="AG471" s="8" t="s">
        <v>65</v>
      </c>
      <c r="AH471" s="8">
        <v>1</v>
      </c>
      <c r="AI471" s="8">
        <v>1</v>
      </c>
      <c r="AJ471" s="8">
        <v>1</v>
      </c>
      <c r="AK471" s="8">
        <v>1</v>
      </c>
      <c r="AR471" s="8">
        <v>3050</v>
      </c>
      <c r="AS471" s="8">
        <v>1310</v>
      </c>
      <c r="AT471">
        <v>4850201</v>
      </c>
      <c r="AU471" s="8" t="s">
        <v>66</v>
      </c>
      <c r="AW471" s="8">
        <v>0</v>
      </c>
    </row>
    <row r="472" spans="1:49" x14ac:dyDescent="0.25">
      <c r="A472" t="s">
        <v>1274</v>
      </c>
      <c r="C472" t="s">
        <v>1051</v>
      </c>
      <c r="D472" t="s">
        <v>1033</v>
      </c>
      <c r="E472">
        <v>0</v>
      </c>
      <c r="F472">
        <v>28.45</v>
      </c>
      <c r="G472">
        <v>750</v>
      </c>
      <c r="J472" t="s">
        <v>835</v>
      </c>
      <c r="K472" s="8">
        <v>1</v>
      </c>
      <c r="L472" s="8">
        <v>1</v>
      </c>
      <c r="M472" t="str">
        <f t="shared" si="7"/>
        <v>Stratifie-W1100-Blanc alpin-ST9</v>
      </c>
      <c r="N472" s="8">
        <v>0</v>
      </c>
      <c r="O472" s="8">
        <v>1</v>
      </c>
      <c r="P472" s="8">
        <v>0</v>
      </c>
      <c r="Q472" s="8" t="s">
        <v>1035</v>
      </c>
      <c r="R472" s="8" t="s">
        <v>62</v>
      </c>
      <c r="AB472" t="s">
        <v>836</v>
      </c>
      <c r="AD472" t="s">
        <v>837</v>
      </c>
      <c r="AE472" s="8">
        <v>1</v>
      </c>
      <c r="AF472" s="8">
        <v>0</v>
      </c>
      <c r="AG472" s="8" t="s">
        <v>65</v>
      </c>
      <c r="AH472" s="8">
        <v>1</v>
      </c>
      <c r="AI472" s="8">
        <v>1</v>
      </c>
      <c r="AJ472" s="8">
        <v>1</v>
      </c>
      <c r="AK472" s="8">
        <v>1</v>
      </c>
      <c r="AR472" s="8">
        <v>3050</v>
      </c>
      <c r="AS472" s="8">
        <v>1310</v>
      </c>
      <c r="AT472">
        <v>4850204</v>
      </c>
      <c r="AU472" s="8" t="s">
        <v>66</v>
      </c>
      <c r="AW472" s="8">
        <v>0</v>
      </c>
    </row>
    <row r="473" spans="1:49" x14ac:dyDescent="0.25">
      <c r="A473" t="s">
        <v>1275</v>
      </c>
      <c r="C473" t="s">
        <v>1051</v>
      </c>
      <c r="D473" t="s">
        <v>1033</v>
      </c>
      <c r="E473">
        <v>0</v>
      </c>
      <c r="F473">
        <v>13.6</v>
      </c>
      <c r="G473">
        <v>750</v>
      </c>
      <c r="J473" t="s">
        <v>839</v>
      </c>
      <c r="K473" s="8">
        <v>1</v>
      </c>
      <c r="L473" s="8">
        <v>1</v>
      </c>
      <c r="M473" t="str">
        <f t="shared" si="7"/>
        <v>Stratifie-W1200-Blanc porcelaine-ST9</v>
      </c>
      <c r="N473" s="8">
        <v>0</v>
      </c>
      <c r="O473" s="8">
        <v>1</v>
      </c>
      <c r="P473" s="8">
        <v>0</v>
      </c>
      <c r="Q473" s="8" t="s">
        <v>1035</v>
      </c>
      <c r="R473" s="8" t="s">
        <v>62</v>
      </c>
      <c r="AB473" t="s">
        <v>840</v>
      </c>
      <c r="AD473" t="s">
        <v>841</v>
      </c>
      <c r="AE473" s="8">
        <v>1</v>
      </c>
      <c r="AF473" s="8">
        <v>0</v>
      </c>
      <c r="AG473" s="8" t="s">
        <v>65</v>
      </c>
      <c r="AH473" s="8">
        <v>1</v>
      </c>
      <c r="AI473" s="8">
        <v>1</v>
      </c>
      <c r="AJ473" s="8">
        <v>1</v>
      </c>
      <c r="AK473" s="8">
        <v>1</v>
      </c>
      <c r="AR473" s="8">
        <v>3050</v>
      </c>
      <c r="AS473" s="8">
        <v>1310</v>
      </c>
      <c r="AT473">
        <v>7730791</v>
      </c>
      <c r="AU473" s="8" t="s">
        <v>66</v>
      </c>
      <c r="AW473" s="8">
        <v>0</v>
      </c>
    </row>
    <row r="474" spans="1:49" x14ac:dyDescent="0.25">
      <c r="A474" t="s">
        <v>1276</v>
      </c>
      <c r="C474" t="s">
        <v>1051</v>
      </c>
      <c r="D474" t="s">
        <v>1033</v>
      </c>
      <c r="E474">
        <v>0</v>
      </c>
      <c r="F474">
        <v>9.5399999999999991</v>
      </c>
      <c r="G474">
        <v>750</v>
      </c>
      <c r="J474" t="s">
        <v>843</v>
      </c>
      <c r="K474" s="8">
        <v>1</v>
      </c>
      <c r="L474" s="8">
        <v>1</v>
      </c>
      <c r="M474" t="str">
        <f t="shared" si="7"/>
        <v>Stratifie-W960-Blanc classique-SM</v>
      </c>
      <c r="N474" s="8">
        <v>0</v>
      </c>
      <c r="O474" s="8">
        <v>1</v>
      </c>
      <c r="P474" s="8">
        <v>0</v>
      </c>
      <c r="Q474" s="8" t="s">
        <v>1035</v>
      </c>
      <c r="R474" s="8" t="s">
        <v>62</v>
      </c>
      <c r="AB474" t="s">
        <v>844</v>
      </c>
      <c r="AD474" t="s">
        <v>845</v>
      </c>
      <c r="AE474" s="8">
        <v>1</v>
      </c>
      <c r="AF474" s="8">
        <v>0</v>
      </c>
      <c r="AG474" s="8" t="s">
        <v>65</v>
      </c>
      <c r="AH474" s="8">
        <v>1</v>
      </c>
      <c r="AI474" s="8">
        <v>1</v>
      </c>
      <c r="AJ474" s="8">
        <v>1</v>
      </c>
      <c r="AK474" s="8">
        <v>1</v>
      </c>
      <c r="AR474" s="8">
        <v>3050</v>
      </c>
      <c r="AS474" s="8">
        <v>1310</v>
      </c>
      <c r="AT474">
        <v>4766564</v>
      </c>
      <c r="AU474" s="8" t="s">
        <v>66</v>
      </c>
      <c r="AW474" s="8">
        <v>0</v>
      </c>
    </row>
    <row r="475" spans="1:49" x14ac:dyDescent="0.25">
      <c r="A475" t="s">
        <v>1277</v>
      </c>
      <c r="C475" t="s">
        <v>1051</v>
      </c>
      <c r="D475" t="s">
        <v>1033</v>
      </c>
      <c r="E475">
        <v>0</v>
      </c>
      <c r="F475">
        <v>9.5399999999999991</v>
      </c>
      <c r="G475">
        <v>750</v>
      </c>
      <c r="J475" t="s">
        <v>843</v>
      </c>
      <c r="K475" s="8">
        <v>1</v>
      </c>
      <c r="L475" s="8">
        <v>1</v>
      </c>
      <c r="M475" t="str">
        <f t="shared" si="7"/>
        <v>Stratifie-W960-Blanc classique-ST7</v>
      </c>
      <c r="N475" s="8">
        <v>0</v>
      </c>
      <c r="O475" s="8">
        <v>1</v>
      </c>
      <c r="P475" s="8">
        <v>0</v>
      </c>
      <c r="Q475" s="8" t="s">
        <v>1035</v>
      </c>
      <c r="R475" s="8" t="s">
        <v>62</v>
      </c>
      <c r="AB475" t="s">
        <v>847</v>
      </c>
      <c r="AD475" t="s">
        <v>848</v>
      </c>
      <c r="AE475" s="8">
        <v>1</v>
      </c>
      <c r="AF475" s="8">
        <v>0</v>
      </c>
      <c r="AG475" s="8" t="s">
        <v>65</v>
      </c>
      <c r="AH475" s="8">
        <v>1</v>
      </c>
      <c r="AI475" s="8">
        <v>1</v>
      </c>
      <c r="AJ475" s="8">
        <v>1</v>
      </c>
      <c r="AK475" s="8">
        <v>1</v>
      </c>
      <c r="AR475" s="8">
        <v>3050</v>
      </c>
      <c r="AS475" s="8">
        <v>1310</v>
      </c>
      <c r="AT475">
        <v>4766564</v>
      </c>
      <c r="AU475" s="8" t="s">
        <v>66</v>
      </c>
      <c r="AW475" s="8">
        <v>0</v>
      </c>
    </row>
    <row r="476" spans="1:49" x14ac:dyDescent="0.25">
      <c r="A476" t="s">
        <v>1278</v>
      </c>
      <c r="C476" t="s">
        <v>1051</v>
      </c>
      <c r="D476" t="s">
        <v>1033</v>
      </c>
      <c r="E476">
        <v>0</v>
      </c>
      <c r="F476">
        <v>9.5399999999999991</v>
      </c>
      <c r="G476">
        <v>750</v>
      </c>
      <c r="J476" t="s">
        <v>850</v>
      </c>
      <c r="K476" s="8">
        <v>1</v>
      </c>
      <c r="L476" s="8">
        <v>1</v>
      </c>
      <c r="M476" t="str">
        <f t="shared" si="7"/>
        <v>Stratifie-W980-Blanc kaolin-SM</v>
      </c>
      <c r="N476" s="8">
        <v>0</v>
      </c>
      <c r="O476" s="8">
        <v>1</v>
      </c>
      <c r="P476" s="8">
        <v>0</v>
      </c>
      <c r="Q476" s="8" t="s">
        <v>1035</v>
      </c>
      <c r="R476" s="8" t="s">
        <v>62</v>
      </c>
      <c r="AB476" t="s">
        <v>851</v>
      </c>
      <c r="AD476" t="s">
        <v>852</v>
      </c>
      <c r="AE476" s="8">
        <v>1</v>
      </c>
      <c r="AF476" s="8">
        <v>0</v>
      </c>
      <c r="AG476" s="8" t="s">
        <v>65</v>
      </c>
      <c r="AH476" s="8">
        <v>1</v>
      </c>
      <c r="AI476" s="8">
        <v>1</v>
      </c>
      <c r="AJ476" s="8">
        <v>1</v>
      </c>
      <c r="AK476" s="8">
        <v>1</v>
      </c>
      <c r="AR476" s="8">
        <v>3050</v>
      </c>
      <c r="AS476" s="8">
        <v>1310</v>
      </c>
      <c r="AT476">
        <v>7550178</v>
      </c>
      <c r="AU476" s="8" t="s">
        <v>66</v>
      </c>
      <c r="AW476" s="8">
        <v>0</v>
      </c>
    </row>
    <row r="477" spans="1:49" x14ac:dyDescent="0.25">
      <c r="A477" t="s">
        <v>1279</v>
      </c>
      <c r="C477" t="s">
        <v>1051</v>
      </c>
      <c r="D477" t="s">
        <v>1033</v>
      </c>
      <c r="E477">
        <v>0</v>
      </c>
      <c r="F477">
        <v>9.5399999999999991</v>
      </c>
      <c r="G477">
        <v>750</v>
      </c>
      <c r="J477" t="s">
        <v>850</v>
      </c>
      <c r="K477" s="8">
        <v>1</v>
      </c>
      <c r="L477" s="8">
        <v>1</v>
      </c>
      <c r="M477" t="str">
        <f t="shared" si="7"/>
        <v>Stratifie-W980-Blanc kaolin-ST7</v>
      </c>
      <c r="N477" s="8">
        <v>0</v>
      </c>
      <c r="O477" s="8">
        <v>1</v>
      </c>
      <c r="P477" s="8">
        <v>0</v>
      </c>
      <c r="Q477" s="8" t="s">
        <v>1035</v>
      </c>
      <c r="R477" s="8" t="s">
        <v>62</v>
      </c>
      <c r="AB477" t="s">
        <v>854</v>
      </c>
      <c r="AD477" t="s">
        <v>855</v>
      </c>
      <c r="AE477" s="8">
        <v>1</v>
      </c>
      <c r="AF477" s="8">
        <v>0</v>
      </c>
      <c r="AG477" s="8" t="s">
        <v>65</v>
      </c>
      <c r="AH477" s="8">
        <v>1</v>
      </c>
      <c r="AI477" s="8">
        <v>1</v>
      </c>
      <c r="AJ477" s="8">
        <v>1</v>
      </c>
      <c r="AK477" s="8">
        <v>1</v>
      </c>
      <c r="AR477" s="8">
        <v>3050</v>
      </c>
      <c r="AS477" s="8">
        <v>1310</v>
      </c>
      <c r="AT477">
        <v>7550178</v>
      </c>
      <c r="AU477" s="8" t="s">
        <v>66</v>
      </c>
      <c r="AW477" s="8">
        <v>0</v>
      </c>
    </row>
    <row r="478" spans="1:49" x14ac:dyDescent="0.25">
      <c r="A478" t="s">
        <v>1280</v>
      </c>
      <c r="C478" t="s">
        <v>1051</v>
      </c>
      <c r="D478" t="s">
        <v>1033</v>
      </c>
      <c r="E478">
        <v>0</v>
      </c>
      <c r="F478">
        <v>12.27</v>
      </c>
      <c r="G478">
        <v>750</v>
      </c>
      <c r="J478" t="s">
        <v>857</v>
      </c>
      <c r="K478" s="8">
        <v>1</v>
      </c>
      <c r="L478" s="8">
        <v>1</v>
      </c>
      <c r="M478" t="str">
        <f t="shared" si="7"/>
        <v>Stratifie-W990-Blanc cristal-ST7</v>
      </c>
      <c r="N478" s="8">
        <v>0</v>
      </c>
      <c r="O478" s="8">
        <v>1</v>
      </c>
      <c r="P478" s="8">
        <v>0</v>
      </c>
      <c r="Q478" s="8" t="s">
        <v>1035</v>
      </c>
      <c r="R478" s="8" t="s">
        <v>62</v>
      </c>
      <c r="AB478" t="s">
        <v>858</v>
      </c>
      <c r="AD478" t="s">
        <v>859</v>
      </c>
      <c r="AE478" s="8">
        <v>1</v>
      </c>
      <c r="AF478" s="8">
        <v>0</v>
      </c>
      <c r="AG478" s="8" t="s">
        <v>65</v>
      </c>
      <c r="AH478" s="8">
        <v>1</v>
      </c>
      <c r="AI478" s="8">
        <v>1</v>
      </c>
      <c r="AJ478" s="8">
        <v>1</v>
      </c>
      <c r="AK478" s="8">
        <v>1</v>
      </c>
      <c r="AR478" s="8">
        <v>3050</v>
      </c>
      <c r="AS478" s="8">
        <v>1310</v>
      </c>
      <c r="AT478">
        <v>4766566</v>
      </c>
      <c r="AU478" s="8" t="s">
        <v>66</v>
      </c>
      <c r="AW478" s="8">
        <v>0</v>
      </c>
    </row>
    <row r="479" spans="1:49" x14ac:dyDescent="0.25">
      <c r="A479" t="s">
        <v>1281</v>
      </c>
      <c r="C479" t="s">
        <v>1051</v>
      </c>
      <c r="D479" t="s">
        <v>1033</v>
      </c>
      <c r="E479">
        <v>0</v>
      </c>
      <c r="F479">
        <v>12.27</v>
      </c>
      <c r="G479">
        <v>750</v>
      </c>
      <c r="J479" t="s">
        <v>857</v>
      </c>
      <c r="K479" s="8">
        <v>1</v>
      </c>
      <c r="L479" s="8">
        <v>1</v>
      </c>
      <c r="M479" t="str">
        <f t="shared" si="7"/>
        <v>Stratifie-W990-Blanc cristal-ST9</v>
      </c>
      <c r="N479" s="8">
        <v>0</v>
      </c>
      <c r="O479" s="8">
        <v>1</v>
      </c>
      <c r="P479" s="8">
        <v>0</v>
      </c>
      <c r="Q479" s="8" t="s">
        <v>1035</v>
      </c>
      <c r="R479" s="8" t="s">
        <v>62</v>
      </c>
      <c r="AB479" t="s">
        <v>861</v>
      </c>
      <c r="AD479" t="s">
        <v>862</v>
      </c>
      <c r="AE479" s="8">
        <v>1</v>
      </c>
      <c r="AF479" s="8">
        <v>0</v>
      </c>
      <c r="AG479" s="8" t="s">
        <v>65</v>
      </c>
      <c r="AH479" s="8">
        <v>1</v>
      </c>
      <c r="AI479" s="8">
        <v>1</v>
      </c>
      <c r="AJ479" s="8">
        <v>1</v>
      </c>
      <c r="AK479" s="8">
        <v>1</v>
      </c>
      <c r="AR479" s="8">
        <v>3050</v>
      </c>
      <c r="AS479" s="8">
        <v>1310</v>
      </c>
      <c r="AT479">
        <v>4766566</v>
      </c>
      <c r="AU479" s="8" t="s">
        <v>66</v>
      </c>
      <c r="AW479" s="8">
        <v>0</v>
      </c>
    </row>
    <row r="480" spans="1:49" x14ac:dyDescent="0.25">
      <c r="A480" t="s">
        <v>1282</v>
      </c>
      <c r="C480" t="s">
        <v>1051</v>
      </c>
      <c r="D480" t="s">
        <v>1033</v>
      </c>
      <c r="E480">
        <v>0</v>
      </c>
      <c r="F480">
        <v>14</v>
      </c>
      <c r="G480">
        <v>750</v>
      </c>
      <c r="J480" t="s">
        <v>864</v>
      </c>
      <c r="K480" s="8">
        <v>1</v>
      </c>
      <c r="L480" s="8">
        <v>1</v>
      </c>
      <c r="M480" t="str">
        <f t="shared" si="7"/>
        <v>Stratifie-W908-SM</v>
      </c>
      <c r="N480" s="8">
        <v>0</v>
      </c>
      <c r="O480" s="8">
        <v>1</v>
      </c>
      <c r="P480" s="8">
        <v>0</v>
      </c>
      <c r="Q480" s="8" t="s">
        <v>1035</v>
      </c>
      <c r="R480" s="8" t="s">
        <v>62</v>
      </c>
      <c r="AB480" t="s">
        <v>865</v>
      </c>
      <c r="AD480" t="s">
        <v>852</v>
      </c>
      <c r="AE480" s="8">
        <v>1</v>
      </c>
      <c r="AF480" s="8">
        <v>0</v>
      </c>
      <c r="AG480" s="8" t="s">
        <v>65</v>
      </c>
      <c r="AH480" s="8">
        <v>1</v>
      </c>
      <c r="AI480" s="8">
        <v>1</v>
      </c>
      <c r="AJ480" s="8">
        <v>1</v>
      </c>
      <c r="AK480" s="8">
        <v>1</v>
      </c>
      <c r="AR480" s="8">
        <v>3050</v>
      </c>
      <c r="AS480" s="8">
        <v>1310</v>
      </c>
      <c r="AU480" s="8" t="s">
        <v>66</v>
      </c>
      <c r="AW480" s="8">
        <v>0</v>
      </c>
    </row>
    <row r="481" spans="1:49" x14ac:dyDescent="0.25">
      <c r="A481" t="s">
        <v>1283</v>
      </c>
      <c r="C481" t="s">
        <v>1051</v>
      </c>
      <c r="D481" t="s">
        <v>1033</v>
      </c>
      <c r="E481">
        <v>0</v>
      </c>
      <c r="F481">
        <v>14</v>
      </c>
      <c r="G481">
        <v>750</v>
      </c>
      <c r="J481" t="s">
        <v>864</v>
      </c>
      <c r="K481" s="8">
        <v>1</v>
      </c>
      <c r="L481" s="8">
        <v>1</v>
      </c>
      <c r="M481" t="str">
        <f t="shared" si="7"/>
        <v>Stratifie-W908-ST7</v>
      </c>
      <c r="N481" s="8">
        <v>0</v>
      </c>
      <c r="O481" s="8">
        <v>1</v>
      </c>
      <c r="P481" s="8">
        <v>0</v>
      </c>
      <c r="Q481" s="8" t="s">
        <v>1035</v>
      </c>
      <c r="R481" s="8" t="s">
        <v>62</v>
      </c>
      <c r="AB481" t="s">
        <v>867</v>
      </c>
      <c r="AD481" t="s">
        <v>855</v>
      </c>
      <c r="AE481" s="8">
        <v>1</v>
      </c>
      <c r="AF481" s="8">
        <v>0</v>
      </c>
      <c r="AG481" s="8" t="s">
        <v>65</v>
      </c>
      <c r="AH481" s="8">
        <v>1</v>
      </c>
      <c r="AI481" s="8">
        <v>1</v>
      </c>
      <c r="AJ481" s="8">
        <v>1</v>
      </c>
      <c r="AK481" s="8">
        <v>1</v>
      </c>
      <c r="AR481" s="8">
        <v>3050</v>
      </c>
      <c r="AS481" s="8">
        <v>1310</v>
      </c>
      <c r="AU481" s="8" t="s">
        <v>66</v>
      </c>
      <c r="AW481" s="8">
        <v>0</v>
      </c>
    </row>
    <row r="482" spans="1:49" x14ac:dyDescent="0.25">
      <c r="A482" t="s">
        <v>1284</v>
      </c>
      <c r="C482" t="s">
        <v>1051</v>
      </c>
      <c r="D482" t="s">
        <v>1033</v>
      </c>
      <c r="E482">
        <v>1</v>
      </c>
      <c r="F482">
        <v>12.27</v>
      </c>
      <c r="G482">
        <v>750</v>
      </c>
      <c r="J482" t="s">
        <v>869</v>
      </c>
      <c r="K482" s="8">
        <v>1</v>
      </c>
      <c r="L482" s="8">
        <v>1</v>
      </c>
      <c r="M482" t="str">
        <f t="shared" si="7"/>
        <v>Stratifie-H1582-Hetre du Tyrol-ST15</v>
      </c>
      <c r="N482" s="8">
        <v>0</v>
      </c>
      <c r="O482" s="8">
        <v>1</v>
      </c>
      <c r="P482" s="8">
        <v>0</v>
      </c>
      <c r="Q482" s="8" t="s">
        <v>1035</v>
      </c>
      <c r="R482" s="8" t="s">
        <v>62</v>
      </c>
      <c r="AB482" t="s">
        <v>870</v>
      </c>
      <c r="AD482" t="s">
        <v>871</v>
      </c>
      <c r="AE482" s="8">
        <v>1</v>
      </c>
      <c r="AF482" s="8">
        <v>0</v>
      </c>
      <c r="AG482" s="8" t="s">
        <v>65</v>
      </c>
      <c r="AH482" s="8">
        <v>1</v>
      </c>
      <c r="AI482" s="8">
        <v>1</v>
      </c>
      <c r="AJ482" s="8">
        <v>1</v>
      </c>
      <c r="AK482" s="8">
        <v>1</v>
      </c>
      <c r="AR482" s="8">
        <v>3050</v>
      </c>
      <c r="AS482" s="8">
        <v>1310</v>
      </c>
      <c r="AT482">
        <v>7730675</v>
      </c>
      <c r="AU482" s="8" t="s">
        <v>66</v>
      </c>
      <c r="AW482" s="8">
        <v>0</v>
      </c>
    </row>
    <row r="483" spans="1:49" x14ac:dyDescent="0.25">
      <c r="A483" t="s">
        <v>1285</v>
      </c>
      <c r="C483" t="s">
        <v>1051</v>
      </c>
      <c r="D483" t="s">
        <v>1033</v>
      </c>
      <c r="E483">
        <v>0</v>
      </c>
      <c r="F483">
        <v>24.4</v>
      </c>
      <c r="G483">
        <v>750</v>
      </c>
      <c r="J483" t="s">
        <v>1029</v>
      </c>
      <c r="K483" s="8">
        <v>1</v>
      </c>
      <c r="L483" s="8">
        <v>1</v>
      </c>
      <c r="M483" t="str">
        <f t="shared" si="7"/>
        <v>Sratifie-W1101-Blanc alpin integral-PM</v>
      </c>
      <c r="N483" s="8">
        <v>0</v>
      </c>
      <c r="O483" s="8">
        <v>1</v>
      </c>
      <c r="P483" s="8">
        <v>0</v>
      </c>
      <c r="Q483" s="8" t="s">
        <v>1035</v>
      </c>
      <c r="R483" s="8" t="s">
        <v>62</v>
      </c>
      <c r="AB483" t="s">
        <v>1286</v>
      </c>
      <c r="AE483" s="8">
        <v>1</v>
      </c>
      <c r="AF483" s="8">
        <v>0</v>
      </c>
      <c r="AG483" s="8" t="s">
        <v>65</v>
      </c>
      <c r="AH483" s="8">
        <v>1</v>
      </c>
      <c r="AI483" s="8">
        <v>1</v>
      </c>
      <c r="AJ483" s="8">
        <v>1</v>
      </c>
      <c r="AK483" s="8">
        <v>1</v>
      </c>
      <c r="AR483" s="8">
        <v>3050</v>
      </c>
      <c r="AS483" s="8">
        <v>1310</v>
      </c>
      <c r="AT483">
        <v>7730803</v>
      </c>
      <c r="AU483" s="8" t="s">
        <v>66</v>
      </c>
      <c r="AW483" s="8">
        <v>0</v>
      </c>
    </row>
    <row r="484" spans="1:49" x14ac:dyDescent="0.25">
      <c r="A484" t="s">
        <v>1287</v>
      </c>
      <c r="C484" t="s">
        <v>1288</v>
      </c>
      <c r="D484">
        <v>12</v>
      </c>
      <c r="E484">
        <v>1</v>
      </c>
      <c r="G484">
        <v>750</v>
      </c>
      <c r="J484" t="s">
        <v>1289</v>
      </c>
      <c r="K484" s="8">
        <v>1</v>
      </c>
      <c r="L484" s="8">
        <v>1</v>
      </c>
      <c r="M484" t="str">
        <f t="shared" si="7"/>
        <v>Compact-F226-Titanit sable-ST87</v>
      </c>
      <c r="N484" s="8">
        <v>0</v>
      </c>
      <c r="O484" s="8">
        <v>1</v>
      </c>
      <c r="P484" s="8">
        <v>0</v>
      </c>
      <c r="Q484" s="8" t="s">
        <v>61</v>
      </c>
      <c r="R484" s="8" t="s">
        <v>62</v>
      </c>
      <c r="AB484" t="s">
        <v>1290</v>
      </c>
      <c r="AE484" s="8">
        <v>1</v>
      </c>
      <c r="AF484" s="8">
        <v>0</v>
      </c>
      <c r="AG484" s="8" t="s">
        <v>65</v>
      </c>
      <c r="AH484" s="8">
        <v>1</v>
      </c>
      <c r="AI484" s="8">
        <v>1</v>
      </c>
      <c r="AJ484" s="8">
        <v>1</v>
      </c>
      <c r="AK484" s="8">
        <v>1</v>
      </c>
      <c r="AR484" s="8">
        <v>2790</v>
      </c>
      <c r="AS484" s="8">
        <v>2070</v>
      </c>
      <c r="AU484" s="8" t="s">
        <v>66</v>
      </c>
      <c r="AW484" s="8">
        <v>0</v>
      </c>
    </row>
    <row r="485" spans="1:49" x14ac:dyDescent="0.25">
      <c r="A485" t="s">
        <v>1291</v>
      </c>
      <c r="C485" t="s">
        <v>1288</v>
      </c>
      <c r="D485">
        <v>12</v>
      </c>
      <c r="E485">
        <v>1</v>
      </c>
      <c r="G485">
        <v>750</v>
      </c>
      <c r="J485" t="s">
        <v>1292</v>
      </c>
      <c r="K485" s="8">
        <v>1</v>
      </c>
      <c r="L485" s="8">
        <v>1</v>
      </c>
      <c r="M485" t="str">
        <f t="shared" si="7"/>
        <v>Compact-F228-Titanit anthracite-ST87</v>
      </c>
      <c r="N485" s="8">
        <v>0</v>
      </c>
      <c r="O485" s="8">
        <v>1</v>
      </c>
      <c r="P485" s="8">
        <v>0</v>
      </c>
      <c r="Q485" s="8" t="s">
        <v>61</v>
      </c>
      <c r="R485" s="8" t="s">
        <v>62</v>
      </c>
      <c r="AB485" t="s">
        <v>1293</v>
      </c>
      <c r="AE485" s="8">
        <v>1</v>
      </c>
      <c r="AF485" s="8">
        <v>0</v>
      </c>
      <c r="AG485" s="8" t="s">
        <v>65</v>
      </c>
      <c r="AH485" s="8">
        <v>1</v>
      </c>
      <c r="AI485" s="8">
        <v>1</v>
      </c>
      <c r="AJ485" s="8">
        <v>1</v>
      </c>
      <c r="AK485" s="8">
        <v>1</v>
      </c>
      <c r="AR485" s="8">
        <v>2790</v>
      </c>
      <c r="AS485" s="8">
        <v>2070</v>
      </c>
      <c r="AU485" s="8" t="s">
        <v>66</v>
      </c>
      <c r="AW485" s="8">
        <v>0</v>
      </c>
    </row>
    <row r="486" spans="1:49" x14ac:dyDescent="0.25">
      <c r="A486" t="s">
        <v>1294</v>
      </c>
      <c r="C486" t="s">
        <v>1288</v>
      </c>
      <c r="D486">
        <v>12</v>
      </c>
      <c r="E486">
        <v>1</v>
      </c>
      <c r="G486">
        <v>750</v>
      </c>
      <c r="J486" t="s">
        <v>1295</v>
      </c>
      <c r="K486" s="8">
        <v>1</v>
      </c>
      <c r="L486" s="8">
        <v>1</v>
      </c>
      <c r="M486" t="str">
        <f t="shared" si="7"/>
        <v>Compact-F302-Ferro bronze-ST87</v>
      </c>
      <c r="N486" s="8">
        <v>0</v>
      </c>
      <c r="O486" s="8">
        <v>1</v>
      </c>
      <c r="P486" s="8">
        <v>0</v>
      </c>
      <c r="Q486" s="8" t="s">
        <v>61</v>
      </c>
      <c r="R486" s="8" t="s">
        <v>62</v>
      </c>
      <c r="AB486" t="s">
        <v>1296</v>
      </c>
      <c r="AE486" s="8">
        <v>1</v>
      </c>
      <c r="AF486" s="8">
        <v>0</v>
      </c>
      <c r="AG486" s="8" t="s">
        <v>65</v>
      </c>
      <c r="AH486" s="8">
        <v>1</v>
      </c>
      <c r="AI486" s="8">
        <v>1</v>
      </c>
      <c r="AJ486" s="8">
        <v>1</v>
      </c>
      <c r="AK486" s="8">
        <v>1</v>
      </c>
      <c r="AR486" s="8">
        <v>2790</v>
      </c>
      <c r="AS486" s="8">
        <v>2070</v>
      </c>
      <c r="AU486" s="8" t="s">
        <v>66</v>
      </c>
      <c r="AW486" s="8">
        <v>0</v>
      </c>
    </row>
    <row r="487" spans="1:49" x14ac:dyDescent="0.25">
      <c r="A487" t="s">
        <v>1297</v>
      </c>
      <c r="C487" t="s">
        <v>1288</v>
      </c>
      <c r="D487">
        <v>12</v>
      </c>
      <c r="E487">
        <v>1</v>
      </c>
      <c r="F487">
        <v>13.6</v>
      </c>
      <c r="G487">
        <v>750</v>
      </c>
      <c r="J487" t="s">
        <v>200</v>
      </c>
      <c r="K487" s="8">
        <v>1</v>
      </c>
      <c r="L487" s="8">
        <v>1</v>
      </c>
      <c r="M487" t="str">
        <f t="shared" si="7"/>
        <v>Compact-H1225-Frene Trondheim-ST10</v>
      </c>
      <c r="N487" s="8">
        <v>1</v>
      </c>
      <c r="O487" s="8">
        <v>1</v>
      </c>
      <c r="P487" s="8">
        <v>0</v>
      </c>
      <c r="Q487" s="8" t="s">
        <v>61</v>
      </c>
      <c r="R487" s="8" t="s">
        <v>62</v>
      </c>
      <c r="AB487" t="s">
        <v>1298</v>
      </c>
      <c r="AE487" s="8">
        <v>1</v>
      </c>
      <c r="AF487" s="8">
        <v>0</v>
      </c>
      <c r="AG487" s="8" t="s">
        <v>65</v>
      </c>
      <c r="AH487" s="8">
        <v>1</v>
      </c>
      <c r="AI487" s="8">
        <v>1</v>
      </c>
      <c r="AJ487" s="8">
        <v>1</v>
      </c>
      <c r="AK487" s="8">
        <v>1</v>
      </c>
      <c r="AR487" s="8">
        <v>2790</v>
      </c>
      <c r="AS487" s="8">
        <v>2070</v>
      </c>
      <c r="AT487">
        <v>4766528</v>
      </c>
      <c r="AU487" s="8" t="s">
        <v>66</v>
      </c>
      <c r="AW487" s="8">
        <v>0</v>
      </c>
    </row>
    <row r="488" spans="1:49" x14ac:dyDescent="0.25">
      <c r="A488" t="s">
        <v>1299</v>
      </c>
      <c r="C488" t="s">
        <v>1288</v>
      </c>
      <c r="D488">
        <v>12</v>
      </c>
      <c r="E488">
        <v>1</v>
      </c>
      <c r="F488">
        <v>13.6</v>
      </c>
      <c r="G488">
        <v>750</v>
      </c>
      <c r="J488" t="s">
        <v>300</v>
      </c>
      <c r="K488" s="8">
        <v>1</v>
      </c>
      <c r="L488" s="8">
        <v>1</v>
      </c>
      <c r="M488" t="str">
        <f t="shared" si="7"/>
        <v>Compact-H1636-Cerisier Locarno-ST9</v>
      </c>
      <c r="N488" s="8">
        <v>1</v>
      </c>
      <c r="O488" s="8">
        <v>1</v>
      </c>
      <c r="P488" s="8">
        <v>0</v>
      </c>
      <c r="Q488" s="8" t="s">
        <v>61</v>
      </c>
      <c r="R488" s="8" t="s">
        <v>62</v>
      </c>
      <c r="AB488" t="s">
        <v>1300</v>
      </c>
      <c r="AE488" s="8">
        <v>1</v>
      </c>
      <c r="AF488" s="8">
        <v>0</v>
      </c>
      <c r="AG488" s="8" t="s">
        <v>65</v>
      </c>
      <c r="AH488" s="8">
        <v>1</v>
      </c>
      <c r="AI488" s="8">
        <v>1</v>
      </c>
      <c r="AJ488" s="8">
        <v>1</v>
      </c>
      <c r="AK488" s="8">
        <v>1</v>
      </c>
      <c r="AR488" s="8">
        <v>2790</v>
      </c>
      <c r="AS488" s="8">
        <v>2070</v>
      </c>
      <c r="AT488">
        <v>7730677</v>
      </c>
      <c r="AU488" s="8" t="s">
        <v>66</v>
      </c>
      <c r="AW488" s="8">
        <v>0</v>
      </c>
    </row>
    <row r="489" spans="1:49" x14ac:dyDescent="0.25">
      <c r="A489" t="s">
        <v>1301</v>
      </c>
      <c r="C489" t="s">
        <v>1288</v>
      </c>
      <c r="D489">
        <v>12</v>
      </c>
      <c r="E489">
        <v>1</v>
      </c>
      <c r="F489">
        <v>13.6</v>
      </c>
      <c r="G489">
        <v>750</v>
      </c>
      <c r="J489" t="s">
        <v>352</v>
      </c>
      <c r="K489" s="8">
        <v>1</v>
      </c>
      <c r="L489" s="8">
        <v>1</v>
      </c>
      <c r="M489" t="str">
        <f t="shared" si="7"/>
        <v>Compact-H3133-Chene Davos chamois-ST9</v>
      </c>
      <c r="N489" s="8">
        <v>1</v>
      </c>
      <c r="O489" s="8">
        <v>1</v>
      </c>
      <c r="P489" s="8">
        <v>0</v>
      </c>
      <c r="Q489" s="8" t="s">
        <v>61</v>
      </c>
      <c r="R489" s="8" t="s">
        <v>62</v>
      </c>
      <c r="AB489" t="s">
        <v>1302</v>
      </c>
      <c r="AE489" s="8">
        <v>1</v>
      </c>
      <c r="AF489" s="8">
        <v>0</v>
      </c>
      <c r="AG489" s="8" t="s">
        <v>65</v>
      </c>
      <c r="AH489" s="8">
        <v>1</v>
      </c>
      <c r="AI489" s="8">
        <v>1</v>
      </c>
      <c r="AJ489" s="8">
        <v>1</v>
      </c>
      <c r="AK489" s="8">
        <v>1</v>
      </c>
      <c r="AR489" s="8">
        <v>2790</v>
      </c>
      <c r="AS489" s="8">
        <v>2070</v>
      </c>
      <c r="AT489">
        <v>7730683</v>
      </c>
      <c r="AU489" s="8" t="s">
        <v>66</v>
      </c>
      <c r="AW489" s="8">
        <v>0</v>
      </c>
    </row>
    <row r="490" spans="1:49" x14ac:dyDescent="0.25">
      <c r="A490" t="s">
        <v>1303</v>
      </c>
      <c r="C490" t="s">
        <v>1288</v>
      </c>
      <c r="D490">
        <v>12</v>
      </c>
      <c r="E490">
        <v>1</v>
      </c>
      <c r="F490">
        <v>13.6</v>
      </c>
      <c r="G490">
        <v>750</v>
      </c>
      <c r="J490" t="s">
        <v>356</v>
      </c>
      <c r="K490" s="8">
        <v>1</v>
      </c>
      <c r="L490" s="8">
        <v>1</v>
      </c>
      <c r="M490" t="str">
        <f t="shared" si="7"/>
        <v>Compact-H3146-Chene Lorenzo sable-ST22</v>
      </c>
      <c r="N490" s="8">
        <v>1</v>
      </c>
      <c r="O490" s="8">
        <v>1</v>
      </c>
      <c r="P490" s="8">
        <v>0</v>
      </c>
      <c r="Q490" s="8" t="s">
        <v>61</v>
      </c>
      <c r="R490" s="8" t="s">
        <v>62</v>
      </c>
      <c r="AB490" t="s">
        <v>1304</v>
      </c>
      <c r="AE490" s="8">
        <v>1</v>
      </c>
      <c r="AF490" s="8">
        <v>0</v>
      </c>
      <c r="AG490" s="8" t="s">
        <v>65</v>
      </c>
      <c r="AH490" s="8">
        <v>1</v>
      </c>
      <c r="AI490" s="8">
        <v>1</v>
      </c>
      <c r="AJ490" s="8">
        <v>1</v>
      </c>
      <c r="AK490" s="8">
        <v>1</v>
      </c>
      <c r="AR490" s="8">
        <v>2790</v>
      </c>
      <c r="AS490" s="8">
        <v>2070</v>
      </c>
      <c r="AT490">
        <v>7795217</v>
      </c>
      <c r="AU490" s="8" t="s">
        <v>66</v>
      </c>
      <c r="AW490" s="8">
        <v>0</v>
      </c>
    </row>
    <row r="491" spans="1:49" x14ac:dyDescent="0.25">
      <c r="A491" t="s">
        <v>1305</v>
      </c>
      <c r="C491" t="s">
        <v>1288</v>
      </c>
      <c r="D491">
        <v>12</v>
      </c>
      <c r="E491">
        <v>1</v>
      </c>
      <c r="F491">
        <v>13.6</v>
      </c>
      <c r="G491">
        <v>750</v>
      </c>
      <c r="J491" t="s">
        <v>368</v>
      </c>
      <c r="K491" s="8">
        <v>1</v>
      </c>
      <c r="L491" s="8">
        <v>1</v>
      </c>
      <c r="M491" t="str">
        <f t="shared" si="7"/>
        <v>Compact-H3156-Chene Corbridge gris-ST9</v>
      </c>
      <c r="N491" s="8">
        <v>1</v>
      </c>
      <c r="O491" s="8">
        <v>1</v>
      </c>
      <c r="P491" s="8">
        <v>0</v>
      </c>
      <c r="Q491" s="8" t="s">
        <v>61</v>
      </c>
      <c r="R491" s="8" t="s">
        <v>62</v>
      </c>
      <c r="AB491" t="s">
        <v>1306</v>
      </c>
      <c r="AE491" s="8">
        <v>1</v>
      </c>
      <c r="AF491" s="8">
        <v>0</v>
      </c>
      <c r="AG491" s="8" t="s">
        <v>65</v>
      </c>
      <c r="AH491" s="8">
        <v>1</v>
      </c>
      <c r="AI491" s="8">
        <v>1</v>
      </c>
      <c r="AJ491" s="8">
        <v>1</v>
      </c>
      <c r="AK491" s="8">
        <v>1</v>
      </c>
      <c r="AR491" s="8">
        <v>2790</v>
      </c>
      <c r="AS491" s="8">
        <v>2070</v>
      </c>
      <c r="AT491">
        <v>7730685</v>
      </c>
      <c r="AU491" s="8" t="s">
        <v>66</v>
      </c>
      <c r="AW491" s="8">
        <v>0</v>
      </c>
    </row>
    <row r="492" spans="1:49" x14ac:dyDescent="0.25">
      <c r="A492" t="s">
        <v>1307</v>
      </c>
      <c r="C492" t="s">
        <v>1288</v>
      </c>
      <c r="D492">
        <v>12</v>
      </c>
      <c r="E492">
        <v>1</v>
      </c>
      <c r="F492">
        <v>13.6</v>
      </c>
      <c r="G492">
        <v>750</v>
      </c>
      <c r="J492" t="s">
        <v>372</v>
      </c>
      <c r="K492" s="8">
        <v>1</v>
      </c>
      <c r="L492" s="8">
        <v>1</v>
      </c>
      <c r="M492" t="str">
        <f t="shared" si="7"/>
        <v>Compact-H3157-Chene Vicenza-ST9</v>
      </c>
      <c r="N492" s="8">
        <v>1</v>
      </c>
      <c r="O492" s="8">
        <v>1</v>
      </c>
      <c r="P492" s="8">
        <v>0</v>
      </c>
      <c r="Q492" s="8" t="s">
        <v>61</v>
      </c>
      <c r="R492" s="8" t="s">
        <v>62</v>
      </c>
      <c r="AB492" t="s">
        <v>1308</v>
      </c>
      <c r="AE492" s="8">
        <v>1</v>
      </c>
      <c r="AF492" s="8">
        <v>0</v>
      </c>
      <c r="AG492" s="8" t="s">
        <v>65</v>
      </c>
      <c r="AH492" s="8">
        <v>1</v>
      </c>
      <c r="AI492" s="8">
        <v>1</v>
      </c>
      <c r="AJ492" s="8">
        <v>1</v>
      </c>
      <c r="AK492" s="8">
        <v>1</v>
      </c>
      <c r="AR492" s="8">
        <v>2790</v>
      </c>
      <c r="AS492" s="8">
        <v>2070</v>
      </c>
      <c r="AT492">
        <v>7730686</v>
      </c>
      <c r="AU492" s="8" t="s">
        <v>66</v>
      </c>
      <c r="AW492" s="8">
        <v>0</v>
      </c>
    </row>
    <row r="493" spans="1:49" x14ac:dyDescent="0.25">
      <c r="A493" t="s">
        <v>1309</v>
      </c>
      <c r="C493" t="s">
        <v>1288</v>
      </c>
      <c r="D493">
        <v>12</v>
      </c>
      <c r="E493">
        <v>1</v>
      </c>
      <c r="F493">
        <v>13.6</v>
      </c>
      <c r="G493">
        <v>750</v>
      </c>
      <c r="J493" t="s">
        <v>376</v>
      </c>
      <c r="K493" s="8">
        <v>1</v>
      </c>
      <c r="L493" s="8">
        <v>1</v>
      </c>
      <c r="M493" t="str">
        <f t="shared" si="7"/>
        <v>Compact-H3158-Chene Vicenza gris-ST22</v>
      </c>
      <c r="N493" s="8">
        <v>1</v>
      </c>
      <c r="O493" s="8">
        <v>1</v>
      </c>
      <c r="P493" s="8">
        <v>0</v>
      </c>
      <c r="Q493" s="8" t="s">
        <v>61</v>
      </c>
      <c r="R493" s="8" t="s">
        <v>62</v>
      </c>
      <c r="AB493" t="s">
        <v>1310</v>
      </c>
      <c r="AE493" s="8">
        <v>1</v>
      </c>
      <c r="AF493" s="8">
        <v>0</v>
      </c>
      <c r="AG493" s="8" t="s">
        <v>65</v>
      </c>
      <c r="AH493" s="8">
        <v>1</v>
      </c>
      <c r="AI493" s="8">
        <v>1</v>
      </c>
      <c r="AJ493" s="8">
        <v>1</v>
      </c>
      <c r="AK493" s="8">
        <v>1</v>
      </c>
      <c r="AR493" s="8">
        <v>2790</v>
      </c>
      <c r="AS493" s="8">
        <v>2070</v>
      </c>
      <c r="AT493">
        <v>7795218</v>
      </c>
      <c r="AU493" s="8" t="s">
        <v>66</v>
      </c>
      <c r="AW493" s="8">
        <v>0</v>
      </c>
    </row>
    <row r="494" spans="1:49" x14ac:dyDescent="0.25">
      <c r="A494" t="s">
        <v>1311</v>
      </c>
      <c r="C494" t="s">
        <v>1288</v>
      </c>
      <c r="D494">
        <v>12</v>
      </c>
      <c r="E494">
        <v>1</v>
      </c>
      <c r="F494">
        <v>13.6</v>
      </c>
      <c r="G494">
        <v>750</v>
      </c>
      <c r="J494" t="s">
        <v>384</v>
      </c>
      <c r="K494" s="8">
        <v>1</v>
      </c>
      <c r="L494" s="8">
        <v>1</v>
      </c>
      <c r="M494" t="str">
        <f t="shared" si="7"/>
        <v>Compact-H3170-Chene Kendal naturel-ST9</v>
      </c>
      <c r="N494" s="8">
        <v>1</v>
      </c>
      <c r="O494" s="8">
        <v>1</v>
      </c>
      <c r="P494" s="8">
        <v>0</v>
      </c>
      <c r="Q494" s="8" t="s">
        <v>61</v>
      </c>
      <c r="R494" s="8" t="s">
        <v>62</v>
      </c>
      <c r="AB494" t="s">
        <v>1312</v>
      </c>
      <c r="AE494" s="8">
        <v>1</v>
      </c>
      <c r="AF494" s="8">
        <v>0</v>
      </c>
      <c r="AG494" s="8" t="s">
        <v>65</v>
      </c>
      <c r="AH494" s="8">
        <v>1</v>
      </c>
      <c r="AI494" s="8">
        <v>1</v>
      </c>
      <c r="AJ494" s="8">
        <v>1</v>
      </c>
      <c r="AK494" s="8">
        <v>1</v>
      </c>
      <c r="AR494" s="8">
        <v>2790</v>
      </c>
      <c r="AS494" s="8">
        <v>2070</v>
      </c>
      <c r="AT494">
        <v>7730687</v>
      </c>
      <c r="AU494" s="8" t="s">
        <v>66</v>
      </c>
      <c r="AW494" s="8">
        <v>0</v>
      </c>
    </row>
    <row r="495" spans="1:49" x14ac:dyDescent="0.25">
      <c r="A495" t="s">
        <v>1313</v>
      </c>
      <c r="C495" t="s">
        <v>1288</v>
      </c>
      <c r="D495">
        <v>12</v>
      </c>
      <c r="E495">
        <v>1</v>
      </c>
      <c r="F495">
        <v>13.6</v>
      </c>
      <c r="G495">
        <v>750</v>
      </c>
      <c r="J495" t="s">
        <v>388</v>
      </c>
      <c r="K495" s="8">
        <v>1</v>
      </c>
      <c r="L495" s="8">
        <v>1</v>
      </c>
      <c r="M495" t="str">
        <f t="shared" si="7"/>
        <v>Compact-H3171-Chene Kendal huile-ST9</v>
      </c>
      <c r="N495" s="8">
        <v>1</v>
      </c>
      <c r="O495" s="8">
        <v>1</v>
      </c>
      <c r="P495" s="8">
        <v>0</v>
      </c>
      <c r="Q495" s="8" t="s">
        <v>61</v>
      </c>
      <c r="R495" s="8" t="s">
        <v>62</v>
      </c>
      <c r="AB495" t="s">
        <v>1314</v>
      </c>
      <c r="AE495" s="8">
        <v>1</v>
      </c>
      <c r="AF495" s="8">
        <v>0</v>
      </c>
      <c r="AG495" s="8" t="s">
        <v>65</v>
      </c>
      <c r="AH495" s="8">
        <v>1</v>
      </c>
      <c r="AI495" s="8">
        <v>1</v>
      </c>
      <c r="AJ495" s="8">
        <v>1</v>
      </c>
      <c r="AK495" s="8">
        <v>1</v>
      </c>
      <c r="AR495" s="8">
        <v>2790</v>
      </c>
      <c r="AS495" s="8">
        <v>2070</v>
      </c>
      <c r="AT495">
        <v>7730688</v>
      </c>
      <c r="AU495" s="8" t="s">
        <v>66</v>
      </c>
      <c r="AW495" s="8">
        <v>0</v>
      </c>
    </row>
    <row r="496" spans="1:49" x14ac:dyDescent="0.25">
      <c r="A496" t="s">
        <v>1315</v>
      </c>
      <c r="C496" t="s">
        <v>1288</v>
      </c>
      <c r="D496">
        <v>12</v>
      </c>
      <c r="E496">
        <v>1</v>
      </c>
      <c r="F496">
        <v>12.27</v>
      </c>
      <c r="G496">
        <v>750</v>
      </c>
      <c r="J496" t="s">
        <v>456</v>
      </c>
      <c r="K496" s="8">
        <v>1</v>
      </c>
      <c r="L496" s="8">
        <v>1</v>
      </c>
      <c r="M496" t="str">
        <f t="shared" si="7"/>
        <v>Compact-H3395-Chene Corbridge naturel-ST9</v>
      </c>
      <c r="N496" s="8">
        <v>1</v>
      </c>
      <c r="O496" s="8">
        <v>1</v>
      </c>
      <c r="P496" s="8">
        <v>0</v>
      </c>
      <c r="Q496" s="8" t="s">
        <v>61</v>
      </c>
      <c r="R496" s="8" t="s">
        <v>62</v>
      </c>
      <c r="AB496" t="s">
        <v>1316</v>
      </c>
      <c r="AE496" s="8">
        <v>1</v>
      </c>
      <c r="AF496" s="8">
        <v>0</v>
      </c>
      <c r="AG496" s="8" t="s">
        <v>65</v>
      </c>
      <c r="AH496" s="8">
        <v>1</v>
      </c>
      <c r="AI496" s="8">
        <v>1</v>
      </c>
      <c r="AJ496" s="8">
        <v>1</v>
      </c>
      <c r="AK496" s="8">
        <v>1</v>
      </c>
      <c r="AR496" s="8">
        <v>2790</v>
      </c>
      <c r="AS496" s="8">
        <v>2070</v>
      </c>
      <c r="AT496">
        <v>7730693</v>
      </c>
      <c r="AU496" s="8" t="s">
        <v>66</v>
      </c>
      <c r="AW496" s="8">
        <v>0</v>
      </c>
    </row>
    <row r="497" spans="1:49" x14ac:dyDescent="0.25">
      <c r="A497" t="s">
        <v>1317</v>
      </c>
      <c r="C497" t="s">
        <v>1288</v>
      </c>
      <c r="D497">
        <v>12</v>
      </c>
      <c r="E497">
        <v>1</v>
      </c>
      <c r="F497">
        <v>13.6</v>
      </c>
      <c r="G497">
        <v>750</v>
      </c>
      <c r="J497" t="s">
        <v>460</v>
      </c>
      <c r="K497" s="8">
        <v>1</v>
      </c>
      <c r="L497" s="8">
        <v>1</v>
      </c>
      <c r="M497" t="str">
        <f t="shared" si="7"/>
        <v>Compact-H3398-Chene Kendal cognac-ST9</v>
      </c>
      <c r="N497" s="8">
        <v>1</v>
      </c>
      <c r="O497" s="8">
        <v>1</v>
      </c>
      <c r="P497" s="8">
        <v>0</v>
      </c>
      <c r="Q497" s="8" t="s">
        <v>61</v>
      </c>
      <c r="R497" s="8" t="s">
        <v>62</v>
      </c>
      <c r="AB497" t="s">
        <v>1318</v>
      </c>
      <c r="AE497" s="8">
        <v>1</v>
      </c>
      <c r="AF497" s="8">
        <v>0</v>
      </c>
      <c r="AG497" s="8" t="s">
        <v>65</v>
      </c>
      <c r="AH497" s="8">
        <v>1</v>
      </c>
      <c r="AI497" s="8">
        <v>1</v>
      </c>
      <c r="AJ497" s="8">
        <v>1</v>
      </c>
      <c r="AK497" s="8">
        <v>1</v>
      </c>
      <c r="AR497" s="8">
        <v>2790</v>
      </c>
      <c r="AS497" s="8">
        <v>2070</v>
      </c>
      <c r="AT497">
        <v>7730694</v>
      </c>
      <c r="AU497" s="8" t="s">
        <v>66</v>
      </c>
      <c r="AW497" s="8">
        <v>0</v>
      </c>
    </row>
    <row r="498" spans="1:49" x14ac:dyDescent="0.25">
      <c r="A498" t="s">
        <v>1319</v>
      </c>
      <c r="C498" t="s">
        <v>1288</v>
      </c>
      <c r="D498">
        <v>12</v>
      </c>
      <c r="E498">
        <v>1</v>
      </c>
      <c r="F498">
        <v>13.6</v>
      </c>
      <c r="G498">
        <v>750</v>
      </c>
      <c r="J498" t="s">
        <v>496</v>
      </c>
      <c r="K498" s="8">
        <v>1</v>
      </c>
      <c r="L498" s="8">
        <v>1</v>
      </c>
      <c r="M498" t="str">
        <f t="shared" si="7"/>
        <v>Compact-H3710-Noyer Carini naturel-ST9</v>
      </c>
      <c r="N498" s="8">
        <v>1</v>
      </c>
      <c r="O498" s="8">
        <v>1</v>
      </c>
      <c r="P498" s="8">
        <v>0</v>
      </c>
      <c r="Q498" s="8" t="s">
        <v>61</v>
      </c>
      <c r="R498" s="8" t="s">
        <v>62</v>
      </c>
      <c r="AB498" t="s">
        <v>1320</v>
      </c>
      <c r="AE498" s="8">
        <v>1</v>
      </c>
      <c r="AF498" s="8">
        <v>0</v>
      </c>
      <c r="AG498" s="8" t="s">
        <v>65</v>
      </c>
      <c r="AH498" s="8">
        <v>1</v>
      </c>
      <c r="AI498" s="8">
        <v>1</v>
      </c>
      <c r="AJ498" s="8">
        <v>1</v>
      </c>
      <c r="AK498" s="8">
        <v>1</v>
      </c>
      <c r="AR498" s="8">
        <v>2790</v>
      </c>
      <c r="AS498" s="8">
        <v>2070</v>
      </c>
      <c r="AT498">
        <v>7730820</v>
      </c>
      <c r="AU498" s="8" t="s">
        <v>66</v>
      </c>
      <c r="AW498" s="8">
        <v>0</v>
      </c>
    </row>
    <row r="499" spans="1:49" x14ac:dyDescent="0.25">
      <c r="A499" t="s">
        <v>1321</v>
      </c>
      <c r="C499" t="s">
        <v>1288</v>
      </c>
      <c r="D499">
        <v>12</v>
      </c>
      <c r="E499">
        <v>0</v>
      </c>
      <c r="F499">
        <v>12.27</v>
      </c>
      <c r="G499">
        <v>750</v>
      </c>
      <c r="J499" t="s">
        <v>812</v>
      </c>
      <c r="K499" s="8">
        <v>1</v>
      </c>
      <c r="L499" s="8">
        <v>1</v>
      </c>
      <c r="M499" t="str">
        <f t="shared" si="7"/>
        <v>Compact-U999-Noir-ST87</v>
      </c>
      <c r="N499" s="8">
        <v>0</v>
      </c>
      <c r="O499" s="8">
        <v>1</v>
      </c>
      <c r="P499" s="8">
        <v>0</v>
      </c>
      <c r="Q499" s="8" t="s">
        <v>61</v>
      </c>
      <c r="R499" s="8" t="s">
        <v>62</v>
      </c>
      <c r="AB499" t="s">
        <v>1322</v>
      </c>
      <c r="AE499" s="8">
        <v>1</v>
      </c>
      <c r="AF499" s="8">
        <v>0</v>
      </c>
      <c r="AG499" s="8" t="s">
        <v>65</v>
      </c>
      <c r="AH499" s="8">
        <v>1</v>
      </c>
      <c r="AI499" s="8">
        <v>1</v>
      </c>
      <c r="AJ499" s="8">
        <v>1</v>
      </c>
      <c r="AK499" s="8">
        <v>1</v>
      </c>
      <c r="AR499" s="8">
        <v>2790</v>
      </c>
      <c r="AS499" s="8">
        <v>2070</v>
      </c>
      <c r="AT499">
        <v>4751072</v>
      </c>
      <c r="AU499" s="8" t="s">
        <v>66</v>
      </c>
      <c r="AW499" s="8">
        <v>0</v>
      </c>
    </row>
    <row r="500" spans="1:49" x14ac:dyDescent="0.25">
      <c r="A500" t="s">
        <v>1323</v>
      </c>
      <c r="C500" t="s">
        <v>1288</v>
      </c>
      <c r="D500">
        <v>12</v>
      </c>
      <c r="E500">
        <v>0</v>
      </c>
      <c r="F500">
        <v>24.4</v>
      </c>
      <c r="G500">
        <v>750</v>
      </c>
      <c r="J500" t="s">
        <v>1034</v>
      </c>
      <c r="K500" s="8">
        <v>1</v>
      </c>
      <c r="L500" s="8">
        <v>1</v>
      </c>
      <c r="M500" t="str">
        <f t="shared" si="7"/>
        <v>Compact-U7021-Gris cachemire integral-ST9</v>
      </c>
      <c r="N500" s="8">
        <v>0</v>
      </c>
      <c r="O500" s="8">
        <v>1</v>
      </c>
      <c r="P500" s="8">
        <v>0</v>
      </c>
      <c r="Q500" s="8" t="s">
        <v>61</v>
      </c>
      <c r="R500" s="8" t="s">
        <v>62</v>
      </c>
      <c r="AB500" t="s">
        <v>1036</v>
      </c>
      <c r="AE500" s="8">
        <v>1</v>
      </c>
      <c r="AF500" s="8">
        <v>0</v>
      </c>
      <c r="AG500" s="8" t="s">
        <v>65</v>
      </c>
      <c r="AH500" s="8">
        <v>1</v>
      </c>
      <c r="AI500" s="8">
        <v>1</v>
      </c>
      <c r="AJ500" s="8">
        <v>1</v>
      </c>
      <c r="AK500" s="8">
        <v>1</v>
      </c>
      <c r="AR500" s="8">
        <v>3050</v>
      </c>
      <c r="AS500" s="8">
        <v>1310</v>
      </c>
      <c r="AT500">
        <v>7730799</v>
      </c>
      <c r="AU500" s="8" t="s">
        <v>66</v>
      </c>
      <c r="AW500" s="8">
        <v>0</v>
      </c>
    </row>
    <row r="501" spans="1:49" x14ac:dyDescent="0.25">
      <c r="A501" t="s">
        <v>1324</v>
      </c>
      <c r="C501" t="s">
        <v>1288</v>
      </c>
      <c r="D501">
        <v>12</v>
      </c>
      <c r="E501">
        <v>0</v>
      </c>
      <c r="F501">
        <v>24.4</v>
      </c>
      <c r="G501">
        <v>750</v>
      </c>
      <c r="J501" t="s">
        <v>1022</v>
      </c>
      <c r="K501" s="8">
        <v>1</v>
      </c>
      <c r="L501" s="8">
        <v>1</v>
      </c>
      <c r="M501" t="str">
        <f t="shared" si="7"/>
        <v>Compact-U7081-Gris clair integral-ST9</v>
      </c>
      <c r="N501" s="8">
        <v>0</v>
      </c>
      <c r="O501" s="8">
        <v>1</v>
      </c>
      <c r="P501" s="8">
        <v>0</v>
      </c>
      <c r="Q501" s="8" t="s">
        <v>61</v>
      </c>
      <c r="R501" s="8" t="s">
        <v>62</v>
      </c>
      <c r="AB501" t="s">
        <v>1038</v>
      </c>
      <c r="AE501" s="8">
        <v>1</v>
      </c>
      <c r="AF501" s="8">
        <v>0</v>
      </c>
      <c r="AG501" s="8" t="s">
        <v>65</v>
      </c>
      <c r="AH501" s="8">
        <v>1</v>
      </c>
      <c r="AI501" s="8">
        <v>1</v>
      </c>
      <c r="AJ501" s="8">
        <v>1</v>
      </c>
      <c r="AK501" s="8">
        <v>1</v>
      </c>
      <c r="AR501" s="8">
        <v>3050</v>
      </c>
      <c r="AS501" s="8">
        <v>1310</v>
      </c>
      <c r="AT501">
        <v>7795315</v>
      </c>
      <c r="AU501" s="8" t="s">
        <v>66</v>
      </c>
      <c r="AW501" s="8">
        <v>0</v>
      </c>
    </row>
    <row r="502" spans="1:49" x14ac:dyDescent="0.25">
      <c r="A502" t="s">
        <v>1325</v>
      </c>
      <c r="C502" t="s">
        <v>1288</v>
      </c>
      <c r="D502">
        <v>12</v>
      </c>
      <c r="E502">
        <v>0</v>
      </c>
      <c r="F502">
        <v>24.4</v>
      </c>
      <c r="G502">
        <v>750</v>
      </c>
      <c r="J502" t="s">
        <v>1040</v>
      </c>
      <c r="K502" s="8">
        <v>1</v>
      </c>
      <c r="L502" s="8">
        <v>1</v>
      </c>
      <c r="M502" t="str">
        <f t="shared" si="7"/>
        <v>Compact-U8991-Soft Black integral-ST9</v>
      </c>
      <c r="N502" s="8">
        <v>0</v>
      </c>
      <c r="O502" s="8">
        <v>1</v>
      </c>
      <c r="P502" s="8">
        <v>0</v>
      </c>
      <c r="Q502" s="8" t="s">
        <v>61</v>
      </c>
      <c r="R502" s="8" t="s">
        <v>62</v>
      </c>
      <c r="AB502" t="s">
        <v>1041</v>
      </c>
      <c r="AE502" s="8">
        <v>1</v>
      </c>
      <c r="AF502" s="8">
        <v>0</v>
      </c>
      <c r="AG502" s="8" t="s">
        <v>65</v>
      </c>
      <c r="AH502" s="8">
        <v>1</v>
      </c>
      <c r="AI502" s="8">
        <v>1</v>
      </c>
      <c r="AJ502" s="8">
        <v>1</v>
      </c>
      <c r="AK502" s="8">
        <v>1</v>
      </c>
      <c r="AR502" s="8">
        <v>3050</v>
      </c>
      <c r="AS502" s="8">
        <v>1310</v>
      </c>
      <c r="AT502">
        <v>7795316</v>
      </c>
      <c r="AU502" s="8" t="s">
        <v>66</v>
      </c>
      <c r="AW502" s="8">
        <v>0</v>
      </c>
    </row>
    <row r="503" spans="1:49" x14ac:dyDescent="0.25">
      <c r="A503" t="s">
        <v>1326</v>
      </c>
      <c r="C503" t="s">
        <v>1288</v>
      </c>
      <c r="D503">
        <v>12</v>
      </c>
      <c r="E503">
        <v>0</v>
      </c>
      <c r="F503">
        <v>24.4</v>
      </c>
      <c r="G503">
        <v>750</v>
      </c>
      <c r="J503" t="s">
        <v>1043</v>
      </c>
      <c r="K503" s="8">
        <v>1</v>
      </c>
      <c r="L503" s="8">
        <v>1</v>
      </c>
      <c r="M503" t="str">
        <f t="shared" si="7"/>
        <v>Compact-U9631-Gris ombre integral-ST9</v>
      </c>
      <c r="N503" s="8">
        <v>0</v>
      </c>
      <c r="O503" s="8">
        <v>1</v>
      </c>
      <c r="P503" s="8">
        <v>0</v>
      </c>
      <c r="Q503" s="8" t="s">
        <v>61</v>
      </c>
      <c r="R503" s="8" t="s">
        <v>62</v>
      </c>
      <c r="AB503" t="s">
        <v>1044</v>
      </c>
      <c r="AE503" s="8">
        <v>1</v>
      </c>
      <c r="AF503" s="8">
        <v>0</v>
      </c>
      <c r="AG503" s="8" t="s">
        <v>65</v>
      </c>
      <c r="AH503" s="8">
        <v>1</v>
      </c>
      <c r="AI503" s="8">
        <v>1</v>
      </c>
      <c r="AJ503" s="8">
        <v>1</v>
      </c>
      <c r="AK503" s="8">
        <v>1</v>
      </c>
      <c r="AR503" s="8">
        <v>3050</v>
      </c>
      <c r="AS503" s="8">
        <v>1310</v>
      </c>
      <c r="AT503">
        <v>7730801</v>
      </c>
      <c r="AU503" s="8" t="s">
        <v>66</v>
      </c>
      <c r="AW503" s="8">
        <v>0</v>
      </c>
    </row>
    <row r="504" spans="1:49" x14ac:dyDescent="0.25">
      <c r="A504" t="s">
        <v>1327</v>
      </c>
      <c r="C504" t="s">
        <v>1288</v>
      </c>
      <c r="D504">
        <v>12</v>
      </c>
      <c r="E504">
        <v>0</v>
      </c>
      <c r="F504">
        <v>24.4</v>
      </c>
      <c r="G504">
        <v>750</v>
      </c>
      <c r="J504" t="s">
        <v>1046</v>
      </c>
      <c r="K504" s="8">
        <v>1</v>
      </c>
      <c r="L504" s="8">
        <v>1</v>
      </c>
      <c r="M504" t="str">
        <f t="shared" si="7"/>
        <v>Compact-W1001-Blanc premium integral-ST9</v>
      </c>
      <c r="N504" s="8">
        <v>0</v>
      </c>
      <c r="O504" s="8">
        <v>1</v>
      </c>
      <c r="P504" s="8">
        <v>0</v>
      </c>
      <c r="Q504" s="8" t="s">
        <v>61</v>
      </c>
      <c r="R504" s="8" t="s">
        <v>62</v>
      </c>
      <c r="AB504" t="s">
        <v>1047</v>
      </c>
      <c r="AE504" s="8">
        <v>1</v>
      </c>
      <c r="AF504" s="8">
        <v>0</v>
      </c>
      <c r="AG504" s="8" t="s">
        <v>65</v>
      </c>
      <c r="AH504" s="8">
        <v>1</v>
      </c>
      <c r="AI504" s="8">
        <v>1</v>
      </c>
      <c r="AJ504" s="8">
        <v>1</v>
      </c>
      <c r="AK504" s="8">
        <v>1</v>
      </c>
      <c r="AR504" s="8">
        <v>3050</v>
      </c>
      <c r="AS504" s="8">
        <v>1310</v>
      </c>
      <c r="AT504">
        <v>7795319</v>
      </c>
      <c r="AU504" s="8" t="s">
        <v>66</v>
      </c>
      <c r="AW504" s="8">
        <v>0</v>
      </c>
    </row>
    <row r="505" spans="1:49" x14ac:dyDescent="0.25">
      <c r="A505" t="s">
        <v>1328</v>
      </c>
      <c r="C505" t="s">
        <v>1288</v>
      </c>
      <c r="D505">
        <v>12</v>
      </c>
      <c r="E505">
        <v>0</v>
      </c>
      <c r="F505">
        <v>24.4</v>
      </c>
      <c r="G505">
        <v>750</v>
      </c>
      <c r="J505" t="s">
        <v>1029</v>
      </c>
      <c r="K505" s="8">
        <v>1</v>
      </c>
      <c r="L505" s="8">
        <v>1</v>
      </c>
      <c r="M505" t="str">
        <f t="shared" si="7"/>
        <v>Compact-W1101-Blanc alpin integral-ST9</v>
      </c>
      <c r="N505" s="8">
        <v>0</v>
      </c>
      <c r="O505" s="8">
        <v>1</v>
      </c>
      <c r="P505" s="8">
        <v>0</v>
      </c>
      <c r="Q505" s="8" t="s">
        <v>61</v>
      </c>
      <c r="R505" s="8" t="s">
        <v>62</v>
      </c>
      <c r="AB505" t="s">
        <v>1049</v>
      </c>
      <c r="AE505" s="8">
        <v>1</v>
      </c>
      <c r="AF505" s="8">
        <v>0</v>
      </c>
      <c r="AG505" s="8" t="s">
        <v>65</v>
      </c>
      <c r="AH505" s="8">
        <v>1</v>
      </c>
      <c r="AI505" s="8">
        <v>1</v>
      </c>
      <c r="AJ505" s="8">
        <v>1</v>
      </c>
      <c r="AK505" s="8">
        <v>1</v>
      </c>
      <c r="AR505" s="8">
        <v>3050</v>
      </c>
      <c r="AS505" s="8">
        <v>1310</v>
      </c>
      <c r="AT505">
        <v>7730803</v>
      </c>
      <c r="AU505" s="8" t="s">
        <v>66</v>
      </c>
      <c r="AW505" s="8">
        <v>0</v>
      </c>
    </row>
    <row r="506" spans="1:49" x14ac:dyDescent="0.25">
      <c r="A506" t="s">
        <v>1329</v>
      </c>
      <c r="B506">
        <v>4780144</v>
      </c>
      <c r="C506" t="s">
        <v>1330</v>
      </c>
      <c r="D506" t="s">
        <v>1033</v>
      </c>
      <c r="E506">
        <v>1</v>
      </c>
      <c r="F506">
        <v>16.850000000000001</v>
      </c>
      <c r="G506">
        <v>750</v>
      </c>
      <c r="J506" t="s">
        <v>941</v>
      </c>
      <c r="K506" s="8">
        <v>1</v>
      </c>
      <c r="L506" s="8">
        <v>1</v>
      </c>
      <c r="M506" t="str">
        <f t="shared" si="7"/>
        <v>Stratifies Matt-H3180-Chene Halifax brun-TM12</v>
      </c>
      <c r="N506" s="8">
        <v>1</v>
      </c>
      <c r="O506" s="8">
        <v>1</v>
      </c>
      <c r="P506" s="8">
        <v>0</v>
      </c>
      <c r="Q506" s="8" t="s">
        <v>1035</v>
      </c>
      <c r="R506" s="8" t="s">
        <v>62</v>
      </c>
      <c r="AB506" t="s">
        <v>1331</v>
      </c>
      <c r="AE506" s="8">
        <v>1</v>
      </c>
      <c r="AF506" s="8">
        <v>0</v>
      </c>
      <c r="AG506" s="8" t="s">
        <v>65</v>
      </c>
      <c r="AH506" s="8">
        <v>1</v>
      </c>
      <c r="AI506" s="8">
        <v>1</v>
      </c>
      <c r="AJ506" s="8">
        <v>1</v>
      </c>
      <c r="AK506" s="8">
        <v>1</v>
      </c>
      <c r="AR506" s="8">
        <v>2790</v>
      </c>
      <c r="AS506" s="8">
        <v>2070</v>
      </c>
      <c r="AT506">
        <v>4780144</v>
      </c>
      <c r="AU506" s="8" t="s">
        <v>66</v>
      </c>
      <c r="AW506" s="8">
        <v>0</v>
      </c>
    </row>
    <row r="507" spans="1:49" x14ac:dyDescent="0.25">
      <c r="A507" t="s">
        <v>1332</v>
      </c>
      <c r="B507">
        <v>4780145</v>
      </c>
      <c r="C507" t="s">
        <v>1330</v>
      </c>
      <c r="D507" t="s">
        <v>1033</v>
      </c>
      <c r="E507">
        <v>1</v>
      </c>
      <c r="F507">
        <v>16.850000000000001</v>
      </c>
      <c r="G507">
        <v>750</v>
      </c>
      <c r="J507" t="s">
        <v>420</v>
      </c>
      <c r="K507" s="8">
        <v>1</v>
      </c>
      <c r="L507" s="8">
        <v>1</v>
      </c>
      <c r="M507" t="str">
        <f t="shared" si="7"/>
        <v>Stratifies Matt-H3311-Chene Cuneo blanchi-TM12</v>
      </c>
      <c r="N507" s="8">
        <v>1</v>
      </c>
      <c r="O507" s="8">
        <v>1</v>
      </c>
      <c r="P507" s="8">
        <v>0</v>
      </c>
      <c r="Q507" s="8" t="s">
        <v>1035</v>
      </c>
      <c r="R507" s="8" t="s">
        <v>62</v>
      </c>
      <c r="AB507" t="s">
        <v>1333</v>
      </c>
      <c r="AE507" s="8">
        <v>1</v>
      </c>
      <c r="AF507" s="8">
        <v>0</v>
      </c>
      <c r="AG507" s="8" t="s">
        <v>65</v>
      </c>
      <c r="AH507" s="8">
        <v>1</v>
      </c>
      <c r="AI507" s="8">
        <v>1</v>
      </c>
      <c r="AJ507" s="8">
        <v>1</v>
      </c>
      <c r="AK507" s="8">
        <v>1</v>
      </c>
      <c r="AR507" s="8">
        <v>2790</v>
      </c>
      <c r="AS507" s="8">
        <v>2070</v>
      </c>
      <c r="AT507">
        <v>4780145</v>
      </c>
      <c r="AU507" s="8" t="s">
        <v>66</v>
      </c>
      <c r="AW507" s="8">
        <v>0</v>
      </c>
    </row>
    <row r="508" spans="1:49" x14ac:dyDescent="0.25">
      <c r="A508" t="s">
        <v>1334</v>
      </c>
      <c r="B508">
        <v>4780146</v>
      </c>
      <c r="C508" t="s">
        <v>1330</v>
      </c>
      <c r="D508" t="s">
        <v>1033</v>
      </c>
      <c r="E508">
        <v>1</v>
      </c>
      <c r="F508">
        <v>16.850000000000001</v>
      </c>
      <c r="G508">
        <v>750</v>
      </c>
      <c r="J508" t="s">
        <v>949</v>
      </c>
      <c r="K508" s="8">
        <v>1</v>
      </c>
      <c r="L508" s="8">
        <v>1</v>
      </c>
      <c r="M508" t="str">
        <f t="shared" si="7"/>
        <v>Stratifies Matt-H3342-Chene Gladstone lave-TM12</v>
      </c>
      <c r="N508" s="8">
        <v>1</v>
      </c>
      <c r="O508" s="8">
        <v>1</v>
      </c>
      <c r="P508" s="8">
        <v>0</v>
      </c>
      <c r="Q508" s="8" t="s">
        <v>1035</v>
      </c>
      <c r="R508" s="8" t="s">
        <v>62</v>
      </c>
      <c r="AB508" t="s">
        <v>1335</v>
      </c>
      <c r="AE508" s="8">
        <v>1</v>
      </c>
      <c r="AF508" s="8">
        <v>0</v>
      </c>
      <c r="AG508" s="8" t="s">
        <v>65</v>
      </c>
      <c r="AH508" s="8">
        <v>1</v>
      </c>
      <c r="AI508" s="8">
        <v>1</v>
      </c>
      <c r="AJ508" s="8">
        <v>1</v>
      </c>
      <c r="AK508" s="8">
        <v>1</v>
      </c>
      <c r="AR508" s="8">
        <v>2790</v>
      </c>
      <c r="AS508" s="8">
        <v>2070</v>
      </c>
      <c r="AT508">
        <v>4780146</v>
      </c>
      <c r="AU508" s="8" t="s">
        <v>66</v>
      </c>
      <c r="AW508" s="8">
        <v>0</v>
      </c>
    </row>
    <row r="509" spans="1:49" x14ac:dyDescent="0.25">
      <c r="A509" t="s">
        <v>1336</v>
      </c>
      <c r="C509" t="s">
        <v>1330</v>
      </c>
      <c r="D509" t="s">
        <v>1033</v>
      </c>
      <c r="E509">
        <v>0</v>
      </c>
      <c r="F509">
        <v>17.38</v>
      </c>
      <c r="G509">
        <v>750</v>
      </c>
      <c r="J509" t="s">
        <v>548</v>
      </c>
      <c r="K509" s="8">
        <v>1</v>
      </c>
      <c r="L509" s="8">
        <v>1</v>
      </c>
      <c r="M509" t="str">
        <f t="shared" si="7"/>
        <v>Stratifies Matt-U201-Gris galet-PM</v>
      </c>
      <c r="N509" s="8">
        <v>0</v>
      </c>
      <c r="O509" s="8">
        <v>1</v>
      </c>
      <c r="P509" s="8">
        <v>0</v>
      </c>
      <c r="Q509" s="8" t="s">
        <v>1035</v>
      </c>
      <c r="R509" s="8" t="s">
        <v>62</v>
      </c>
      <c r="AB509" t="s">
        <v>1337</v>
      </c>
      <c r="AE509" s="8">
        <v>1</v>
      </c>
      <c r="AF509" s="8">
        <v>0</v>
      </c>
      <c r="AG509" s="8" t="s">
        <v>65</v>
      </c>
      <c r="AH509" s="8">
        <v>1</v>
      </c>
      <c r="AI509" s="8">
        <v>1</v>
      </c>
      <c r="AJ509" s="8">
        <v>1</v>
      </c>
      <c r="AK509" s="8">
        <v>1</v>
      </c>
      <c r="AR509" s="8">
        <v>2790</v>
      </c>
      <c r="AS509" s="8">
        <v>2070</v>
      </c>
      <c r="AT509">
        <v>7795290</v>
      </c>
      <c r="AU509" s="8" t="s">
        <v>66</v>
      </c>
      <c r="AW509" s="8">
        <v>0</v>
      </c>
    </row>
    <row r="510" spans="1:49" x14ac:dyDescent="0.25">
      <c r="A510" t="s">
        <v>1338</v>
      </c>
      <c r="C510" t="s">
        <v>1330</v>
      </c>
      <c r="D510" t="s">
        <v>1033</v>
      </c>
      <c r="E510">
        <v>0</v>
      </c>
      <c r="F510">
        <v>13.6</v>
      </c>
      <c r="G510">
        <v>750</v>
      </c>
      <c r="J510" t="s">
        <v>740</v>
      </c>
      <c r="K510" s="8">
        <v>1</v>
      </c>
      <c r="L510" s="8">
        <v>1</v>
      </c>
      <c r="M510" t="str">
        <f t="shared" si="7"/>
        <v>Stratifies Matt-U740-Gris argile fonce-PM</v>
      </c>
      <c r="N510" s="8">
        <v>0</v>
      </c>
      <c r="O510" s="8">
        <v>1</v>
      </c>
      <c r="P510" s="8">
        <v>0</v>
      </c>
      <c r="Q510" s="8" t="s">
        <v>1035</v>
      </c>
      <c r="R510" s="8" t="s">
        <v>62</v>
      </c>
      <c r="AB510" t="s">
        <v>1339</v>
      </c>
      <c r="AE510" s="8">
        <v>1</v>
      </c>
      <c r="AF510" s="8">
        <v>0</v>
      </c>
      <c r="AG510" s="8" t="s">
        <v>65</v>
      </c>
      <c r="AH510" s="8">
        <v>1</v>
      </c>
      <c r="AI510" s="8">
        <v>1</v>
      </c>
      <c r="AJ510" s="8">
        <v>1</v>
      </c>
      <c r="AK510" s="8">
        <v>1</v>
      </c>
      <c r="AR510" s="8">
        <v>2790</v>
      </c>
      <c r="AS510" s="8">
        <v>2070</v>
      </c>
      <c r="AT510">
        <v>7795234</v>
      </c>
      <c r="AU510" s="8" t="s">
        <v>66</v>
      </c>
      <c r="AW510" s="8">
        <v>0</v>
      </c>
    </row>
    <row r="511" spans="1:49" x14ac:dyDescent="0.25">
      <c r="A511" t="s">
        <v>1340</v>
      </c>
      <c r="C511" t="s">
        <v>1330</v>
      </c>
      <c r="D511" t="s">
        <v>1033</v>
      </c>
      <c r="E511">
        <v>0</v>
      </c>
      <c r="F511">
        <v>17.38</v>
      </c>
      <c r="G511">
        <v>750</v>
      </c>
      <c r="J511" t="s">
        <v>752</v>
      </c>
      <c r="K511" s="8">
        <v>1</v>
      </c>
      <c r="L511" s="8">
        <v>1</v>
      </c>
      <c r="M511" t="str">
        <f t="shared" si="7"/>
        <v>Stratifies Matt-U750-Gris souris-PM</v>
      </c>
      <c r="N511" s="8">
        <v>0</v>
      </c>
      <c r="O511" s="8">
        <v>1</v>
      </c>
      <c r="P511" s="8">
        <v>0</v>
      </c>
      <c r="Q511" s="8" t="s">
        <v>1035</v>
      </c>
      <c r="R511" s="8" t="s">
        <v>62</v>
      </c>
      <c r="AB511" t="s">
        <v>1341</v>
      </c>
      <c r="AE511" s="8">
        <v>1</v>
      </c>
      <c r="AF511" s="8">
        <v>0</v>
      </c>
      <c r="AG511" s="8" t="s">
        <v>65</v>
      </c>
      <c r="AH511" s="8">
        <v>1</v>
      </c>
      <c r="AI511" s="8">
        <v>1</v>
      </c>
      <c r="AJ511" s="8">
        <v>1</v>
      </c>
      <c r="AK511" s="8">
        <v>1</v>
      </c>
      <c r="AR511" s="8">
        <v>2790</v>
      </c>
      <c r="AS511" s="8">
        <v>2070</v>
      </c>
      <c r="AT511">
        <v>7795308</v>
      </c>
      <c r="AU511" s="8" t="s">
        <v>66</v>
      </c>
      <c r="AW511" s="8">
        <v>0</v>
      </c>
    </row>
    <row r="512" spans="1:49" x14ac:dyDescent="0.25">
      <c r="A512" t="s">
        <v>1342</v>
      </c>
      <c r="C512" t="s">
        <v>1330</v>
      </c>
      <c r="D512" t="s">
        <v>1033</v>
      </c>
      <c r="E512">
        <v>0</v>
      </c>
      <c r="F512">
        <v>13.6</v>
      </c>
      <c r="G512">
        <v>750</v>
      </c>
      <c r="J512" t="s">
        <v>788</v>
      </c>
      <c r="K512" s="8">
        <v>1</v>
      </c>
      <c r="L512" s="8">
        <v>1</v>
      </c>
      <c r="M512" t="str">
        <f t="shared" si="7"/>
        <v>Stratifies Matt-U960-Gris onyx-PM</v>
      </c>
      <c r="N512" s="8">
        <v>0</v>
      </c>
      <c r="O512" s="8">
        <v>1</v>
      </c>
      <c r="P512" s="8">
        <v>0</v>
      </c>
      <c r="Q512" s="8" t="s">
        <v>1035</v>
      </c>
      <c r="R512" s="8" t="s">
        <v>62</v>
      </c>
      <c r="AB512" t="s">
        <v>1343</v>
      </c>
      <c r="AE512" s="8">
        <v>1</v>
      </c>
      <c r="AF512" s="8">
        <v>0</v>
      </c>
      <c r="AG512" s="8" t="s">
        <v>65</v>
      </c>
      <c r="AH512" s="8">
        <v>1</v>
      </c>
      <c r="AI512" s="8">
        <v>1</v>
      </c>
      <c r="AJ512" s="8">
        <v>1</v>
      </c>
      <c r="AK512" s="8">
        <v>1</v>
      </c>
      <c r="AR512" s="8">
        <v>2790</v>
      </c>
      <c r="AS512" s="8">
        <v>2070</v>
      </c>
      <c r="AT512">
        <v>7730777</v>
      </c>
      <c r="AU512" s="8" t="s">
        <v>66</v>
      </c>
      <c r="AW512" s="8">
        <v>0</v>
      </c>
    </row>
    <row r="513" spans="1:49" x14ac:dyDescent="0.25">
      <c r="A513" t="s">
        <v>1344</v>
      </c>
      <c r="C513" t="s">
        <v>1330</v>
      </c>
      <c r="D513" t="s">
        <v>1033</v>
      </c>
      <c r="E513">
        <v>0</v>
      </c>
      <c r="F513">
        <v>13.6</v>
      </c>
      <c r="G513">
        <v>750</v>
      </c>
      <c r="J513" t="s">
        <v>800</v>
      </c>
      <c r="K513" s="8">
        <v>1</v>
      </c>
      <c r="L513" s="8">
        <v>1</v>
      </c>
      <c r="M513" t="str">
        <f t="shared" si="7"/>
        <v>Stratifies Matt-U968-Gris carbone-PM</v>
      </c>
      <c r="N513" s="8">
        <v>0</v>
      </c>
      <c r="O513" s="8">
        <v>1</v>
      </c>
      <c r="P513" s="8">
        <v>0</v>
      </c>
      <c r="Q513" s="8" t="s">
        <v>1035</v>
      </c>
      <c r="R513" s="8" t="s">
        <v>62</v>
      </c>
      <c r="AB513" t="s">
        <v>1345</v>
      </c>
      <c r="AE513" s="8">
        <v>1</v>
      </c>
      <c r="AF513" s="8">
        <v>0</v>
      </c>
      <c r="AG513" s="8" t="s">
        <v>65</v>
      </c>
      <c r="AH513" s="8">
        <v>1</v>
      </c>
      <c r="AI513" s="8">
        <v>1</v>
      </c>
      <c r="AJ513" s="8">
        <v>1</v>
      </c>
      <c r="AK513" s="8">
        <v>1</v>
      </c>
      <c r="AR513" s="8">
        <v>2790</v>
      </c>
      <c r="AS513" s="8">
        <v>2070</v>
      </c>
      <c r="AT513">
        <v>7795238</v>
      </c>
      <c r="AU513" s="8" t="s">
        <v>66</v>
      </c>
      <c r="AW513" s="8">
        <v>0</v>
      </c>
    </row>
    <row r="514" spans="1:49" x14ac:dyDescent="0.25">
      <c r="A514" t="s">
        <v>1346</v>
      </c>
      <c r="B514">
        <v>4794519</v>
      </c>
      <c r="C514" t="s">
        <v>1330</v>
      </c>
      <c r="D514" t="s">
        <v>1033</v>
      </c>
      <c r="E514">
        <v>0</v>
      </c>
      <c r="F514">
        <v>12.27</v>
      </c>
      <c r="G514">
        <v>750</v>
      </c>
      <c r="J514" t="s">
        <v>812</v>
      </c>
      <c r="K514" s="8">
        <v>1</v>
      </c>
      <c r="L514" s="8">
        <v>1</v>
      </c>
      <c r="M514" t="str">
        <f t="shared" si="7"/>
        <v>Stratifies Matt-U999-Noir-TM12</v>
      </c>
      <c r="N514" s="8">
        <v>0</v>
      </c>
      <c r="O514" s="8">
        <v>1</v>
      </c>
      <c r="P514" s="8">
        <v>0</v>
      </c>
      <c r="Q514" s="8" t="s">
        <v>1035</v>
      </c>
      <c r="R514" s="8" t="s">
        <v>62</v>
      </c>
      <c r="AB514" t="s">
        <v>1347</v>
      </c>
      <c r="AE514" s="8">
        <v>1</v>
      </c>
      <c r="AF514" s="8">
        <v>0</v>
      </c>
      <c r="AG514" s="8" t="s">
        <v>65</v>
      </c>
      <c r="AH514" s="8">
        <v>1</v>
      </c>
      <c r="AI514" s="8">
        <v>1</v>
      </c>
      <c r="AJ514" s="8">
        <v>1</v>
      </c>
      <c r="AK514" s="8">
        <v>1</v>
      </c>
      <c r="AR514" s="8">
        <v>2790</v>
      </c>
      <c r="AS514" s="8">
        <v>2070</v>
      </c>
      <c r="AT514">
        <v>4751072</v>
      </c>
      <c r="AU514" s="8" t="s">
        <v>66</v>
      </c>
      <c r="AW514" s="8">
        <v>0</v>
      </c>
    </row>
    <row r="515" spans="1:49" x14ac:dyDescent="0.25">
      <c r="A515" t="s">
        <v>1348</v>
      </c>
      <c r="B515">
        <v>1013413</v>
      </c>
      <c r="C515" t="s">
        <v>1349</v>
      </c>
      <c r="D515">
        <v>12</v>
      </c>
      <c r="E515">
        <v>1</v>
      </c>
      <c r="F515" s="7">
        <v>25.21</v>
      </c>
      <c r="G515">
        <v>650</v>
      </c>
      <c r="J515" t="s">
        <v>1350</v>
      </c>
      <c r="K515" s="8">
        <v>1</v>
      </c>
      <c r="L515" s="8">
        <v>1</v>
      </c>
      <c r="M515" t="str">
        <f t="shared" si="7"/>
        <v>3plis epicea 12 mm</v>
      </c>
      <c r="N515" s="8">
        <v>1</v>
      </c>
      <c r="O515" s="8">
        <v>4</v>
      </c>
      <c r="P515" s="8" t="s">
        <v>1351</v>
      </c>
      <c r="Q515" s="8" t="s">
        <v>61</v>
      </c>
      <c r="R515" s="8" t="s">
        <v>62</v>
      </c>
      <c r="AB515" t="s">
        <v>1352</v>
      </c>
      <c r="AE515" s="8">
        <v>1</v>
      </c>
      <c r="AF515" s="8">
        <v>0</v>
      </c>
      <c r="AG515" s="8" t="s">
        <v>65</v>
      </c>
      <c r="AH515" s="8" t="s">
        <v>1353</v>
      </c>
      <c r="AI515" s="8">
        <v>1</v>
      </c>
      <c r="AJ515" s="8">
        <v>1</v>
      </c>
      <c r="AK515" s="8">
        <v>1</v>
      </c>
      <c r="AR515" s="8">
        <v>5000</v>
      </c>
      <c r="AS515" s="8">
        <v>2050</v>
      </c>
      <c r="AT515">
        <v>1013413</v>
      </c>
      <c r="AU515" s="8" t="s">
        <v>66</v>
      </c>
      <c r="AW515" s="8">
        <v>0</v>
      </c>
    </row>
    <row r="516" spans="1:49" x14ac:dyDescent="0.25">
      <c r="A516" t="s">
        <v>1354</v>
      </c>
      <c r="B516">
        <v>1013414</v>
      </c>
      <c r="C516" t="s">
        <v>1349</v>
      </c>
      <c r="D516">
        <v>16</v>
      </c>
      <c r="E516">
        <v>1</v>
      </c>
      <c r="F516" s="7">
        <v>27.99</v>
      </c>
      <c r="G516">
        <v>650</v>
      </c>
      <c r="J516" t="s">
        <v>1350</v>
      </c>
      <c r="K516" s="8">
        <v>1</v>
      </c>
      <c r="L516" s="8">
        <v>1</v>
      </c>
      <c r="M516" t="str">
        <f t="shared" si="7"/>
        <v>3plis epicea 16 mm</v>
      </c>
      <c r="N516" s="8">
        <v>1</v>
      </c>
      <c r="O516" s="8">
        <v>4</v>
      </c>
      <c r="P516" s="8" t="s">
        <v>1351</v>
      </c>
      <c r="Q516" s="8" t="s">
        <v>61</v>
      </c>
      <c r="R516" s="8" t="s">
        <v>62</v>
      </c>
      <c r="AB516" t="s">
        <v>1355</v>
      </c>
      <c r="AE516" s="8">
        <v>1</v>
      </c>
      <c r="AF516" s="8">
        <v>0</v>
      </c>
      <c r="AG516" s="8" t="s">
        <v>65</v>
      </c>
      <c r="AH516" s="8" t="s">
        <v>1353</v>
      </c>
      <c r="AI516" s="8">
        <v>1</v>
      </c>
      <c r="AJ516" s="8">
        <v>1</v>
      </c>
      <c r="AK516" s="8">
        <v>1</v>
      </c>
      <c r="AR516" s="8">
        <v>5000</v>
      </c>
      <c r="AS516" s="8">
        <v>2050</v>
      </c>
      <c r="AT516">
        <v>1013414</v>
      </c>
      <c r="AU516" s="8" t="s">
        <v>66</v>
      </c>
      <c r="AW516" s="8">
        <v>0</v>
      </c>
    </row>
    <row r="517" spans="1:49" x14ac:dyDescent="0.25">
      <c r="A517" t="s">
        <v>1356</v>
      </c>
      <c r="B517">
        <v>1418469</v>
      </c>
      <c r="C517" t="s">
        <v>1349</v>
      </c>
      <c r="D517">
        <v>19</v>
      </c>
      <c r="E517">
        <v>1</v>
      </c>
      <c r="F517" s="7">
        <v>20.71</v>
      </c>
      <c r="G517">
        <v>650</v>
      </c>
      <c r="J517" t="s">
        <v>1350</v>
      </c>
      <c r="K517" s="8">
        <v>1</v>
      </c>
      <c r="L517" s="8">
        <v>1</v>
      </c>
      <c r="M517" t="str">
        <f t="shared" ref="M517:M563" si="8">IF(ISNUMBER(SEARCH("Melamine",A517)),_xlfn.CONCAT(A517," ",D517," mm"),A517)</f>
        <v>3plis epicea 19 mm</v>
      </c>
      <c r="N517" s="8">
        <v>1</v>
      </c>
      <c r="O517" s="8">
        <v>4</v>
      </c>
      <c r="P517" s="8" t="s">
        <v>1351</v>
      </c>
      <c r="Q517" s="8" t="s">
        <v>61</v>
      </c>
      <c r="R517" s="8" t="s">
        <v>62</v>
      </c>
      <c r="AB517" t="s">
        <v>1357</v>
      </c>
      <c r="AE517" s="8">
        <v>1</v>
      </c>
      <c r="AF517" s="8">
        <v>0</v>
      </c>
      <c r="AG517" s="8" t="s">
        <v>65</v>
      </c>
      <c r="AH517" s="8" t="s">
        <v>1353</v>
      </c>
      <c r="AI517" s="8">
        <v>1</v>
      </c>
      <c r="AJ517" s="8">
        <v>1</v>
      </c>
      <c r="AK517" s="8">
        <v>1</v>
      </c>
      <c r="AR517" s="8">
        <v>5000</v>
      </c>
      <c r="AS517" s="8">
        <v>2050</v>
      </c>
      <c r="AT517">
        <v>1418469</v>
      </c>
      <c r="AU517" s="8" t="s">
        <v>66</v>
      </c>
      <c r="AW517" s="8">
        <v>0</v>
      </c>
    </row>
    <row r="518" spans="1:49" x14ac:dyDescent="0.25">
      <c r="A518" t="s">
        <v>1358</v>
      </c>
      <c r="B518">
        <v>1418470</v>
      </c>
      <c r="C518" t="s">
        <v>1349</v>
      </c>
      <c r="D518">
        <v>22</v>
      </c>
      <c r="E518">
        <v>1</v>
      </c>
      <c r="F518" s="7">
        <v>31.73</v>
      </c>
      <c r="G518">
        <v>650</v>
      </c>
      <c r="J518" t="s">
        <v>1350</v>
      </c>
      <c r="K518" s="8">
        <v>1</v>
      </c>
      <c r="L518" s="8">
        <v>1</v>
      </c>
      <c r="M518" t="str">
        <f t="shared" si="8"/>
        <v>3plis epicea 22 mm</v>
      </c>
      <c r="N518" s="8">
        <v>1</v>
      </c>
      <c r="O518" s="8">
        <v>4</v>
      </c>
      <c r="P518" s="8" t="s">
        <v>1351</v>
      </c>
      <c r="Q518" s="8" t="s">
        <v>61</v>
      </c>
      <c r="R518" s="8" t="s">
        <v>62</v>
      </c>
      <c r="AB518" t="s">
        <v>1359</v>
      </c>
      <c r="AE518" s="8">
        <v>1</v>
      </c>
      <c r="AF518" s="8">
        <v>0</v>
      </c>
      <c r="AG518" s="8" t="s">
        <v>65</v>
      </c>
      <c r="AH518" s="8" t="s">
        <v>1353</v>
      </c>
      <c r="AI518" s="8">
        <v>1</v>
      </c>
      <c r="AJ518" s="8">
        <v>1</v>
      </c>
      <c r="AK518" s="8">
        <v>1</v>
      </c>
      <c r="AR518" s="8">
        <v>5000</v>
      </c>
      <c r="AS518" s="8">
        <v>2050</v>
      </c>
      <c r="AT518">
        <v>1418470</v>
      </c>
      <c r="AU518" s="8" t="s">
        <v>66</v>
      </c>
      <c r="AW518" s="8">
        <v>0</v>
      </c>
    </row>
    <row r="519" spans="1:49" x14ac:dyDescent="0.25">
      <c r="A519" t="s">
        <v>1360</v>
      </c>
      <c r="B519">
        <v>1013417</v>
      </c>
      <c r="C519" t="s">
        <v>1349</v>
      </c>
      <c r="D519">
        <v>27</v>
      </c>
      <c r="E519">
        <v>1</v>
      </c>
      <c r="F519" s="7">
        <v>32.659999999999997</v>
      </c>
      <c r="G519">
        <v>650</v>
      </c>
      <c r="J519" t="s">
        <v>1350</v>
      </c>
      <c r="K519" s="8">
        <v>1</v>
      </c>
      <c r="L519" s="8">
        <v>1</v>
      </c>
      <c r="M519" t="str">
        <f t="shared" si="8"/>
        <v>3plis epicea 27 mm</v>
      </c>
      <c r="N519" s="8">
        <v>1</v>
      </c>
      <c r="O519" s="8">
        <v>4</v>
      </c>
      <c r="P519" s="8" t="s">
        <v>1351</v>
      </c>
      <c r="Q519" s="8" t="s">
        <v>61</v>
      </c>
      <c r="R519" s="8" t="s">
        <v>62</v>
      </c>
      <c r="AB519" t="s">
        <v>1361</v>
      </c>
      <c r="AE519" s="8">
        <v>1</v>
      </c>
      <c r="AF519" s="8">
        <v>0</v>
      </c>
      <c r="AG519" s="8" t="s">
        <v>65</v>
      </c>
      <c r="AH519" s="8" t="s">
        <v>1353</v>
      </c>
      <c r="AI519" s="8">
        <v>1</v>
      </c>
      <c r="AJ519" s="8">
        <v>1</v>
      </c>
      <c r="AK519" s="8">
        <v>1</v>
      </c>
      <c r="AR519" s="8">
        <v>5000</v>
      </c>
      <c r="AS519" s="8">
        <v>2050</v>
      </c>
      <c r="AT519">
        <v>1013417</v>
      </c>
      <c r="AU519" s="8" t="s">
        <v>66</v>
      </c>
      <c r="AW519" s="8">
        <v>0</v>
      </c>
    </row>
    <row r="520" spans="1:49" x14ac:dyDescent="0.25">
      <c r="A520" t="s">
        <v>1362</v>
      </c>
      <c r="B520">
        <v>1013418</v>
      </c>
      <c r="C520" t="s">
        <v>1349</v>
      </c>
      <c r="D520">
        <v>32</v>
      </c>
      <c r="E520">
        <v>1</v>
      </c>
      <c r="F520" s="7">
        <v>39.9</v>
      </c>
      <c r="G520">
        <v>650</v>
      </c>
      <c r="J520" t="s">
        <v>1350</v>
      </c>
      <c r="K520" s="8">
        <v>1</v>
      </c>
      <c r="L520" s="8">
        <v>1</v>
      </c>
      <c r="M520" t="str">
        <f t="shared" si="8"/>
        <v>3plis epicea 32 mm</v>
      </c>
      <c r="N520" s="8">
        <v>1</v>
      </c>
      <c r="O520" s="8">
        <v>4</v>
      </c>
      <c r="P520" s="8" t="s">
        <v>1351</v>
      </c>
      <c r="Q520" s="8" t="s">
        <v>61</v>
      </c>
      <c r="R520" s="8" t="s">
        <v>62</v>
      </c>
      <c r="AB520" t="s">
        <v>1363</v>
      </c>
      <c r="AE520" s="8">
        <v>1</v>
      </c>
      <c r="AF520" s="8">
        <v>0</v>
      </c>
      <c r="AG520" s="8" t="s">
        <v>65</v>
      </c>
      <c r="AH520" s="8" t="s">
        <v>1353</v>
      </c>
      <c r="AI520" s="8">
        <v>1</v>
      </c>
      <c r="AJ520" s="8">
        <v>1</v>
      </c>
      <c r="AK520" s="8">
        <v>1</v>
      </c>
      <c r="AR520" s="8">
        <v>5000</v>
      </c>
      <c r="AS520" s="8">
        <v>2050</v>
      </c>
      <c r="AT520">
        <v>1013418</v>
      </c>
      <c r="AU520" s="8" t="s">
        <v>66</v>
      </c>
      <c r="AW520" s="8">
        <v>0</v>
      </c>
    </row>
    <row r="521" spans="1:49" x14ac:dyDescent="0.25">
      <c r="A521" t="s">
        <v>1364</v>
      </c>
      <c r="B521">
        <v>1423525</v>
      </c>
      <c r="C521" t="s">
        <v>1349</v>
      </c>
      <c r="D521">
        <v>40</v>
      </c>
      <c r="E521">
        <v>1</v>
      </c>
      <c r="F521" s="7">
        <v>45.33</v>
      </c>
      <c r="G521">
        <v>650</v>
      </c>
      <c r="J521" t="s">
        <v>1350</v>
      </c>
      <c r="K521" s="8">
        <v>1</v>
      </c>
      <c r="L521" s="8">
        <v>1</v>
      </c>
      <c r="M521" t="str">
        <f t="shared" si="8"/>
        <v>3plis epicea 40 mm</v>
      </c>
      <c r="N521" s="8">
        <v>1</v>
      </c>
      <c r="O521" s="8">
        <v>4</v>
      </c>
      <c r="P521" s="8" t="s">
        <v>1351</v>
      </c>
      <c r="Q521" s="8" t="s">
        <v>61</v>
      </c>
      <c r="R521" s="8" t="s">
        <v>62</v>
      </c>
      <c r="AB521" t="s">
        <v>1365</v>
      </c>
      <c r="AE521" s="8">
        <v>1</v>
      </c>
      <c r="AF521" s="8">
        <v>0</v>
      </c>
      <c r="AG521" s="8" t="s">
        <v>65</v>
      </c>
      <c r="AH521" s="8" t="s">
        <v>1353</v>
      </c>
      <c r="AI521" s="8">
        <v>1</v>
      </c>
      <c r="AJ521" s="8">
        <v>1</v>
      </c>
      <c r="AK521" s="8">
        <v>1</v>
      </c>
      <c r="AR521" s="8">
        <v>5000</v>
      </c>
      <c r="AS521" s="8">
        <v>2050</v>
      </c>
      <c r="AT521">
        <v>1423525</v>
      </c>
      <c r="AU521" s="8" t="s">
        <v>66</v>
      </c>
      <c r="AW521" s="8">
        <v>0</v>
      </c>
    </row>
    <row r="522" spans="1:49" x14ac:dyDescent="0.25">
      <c r="A522" t="s">
        <v>1366</v>
      </c>
      <c r="B522">
        <v>4532191</v>
      </c>
      <c r="C522" t="s">
        <v>1349</v>
      </c>
      <c r="D522">
        <v>19</v>
      </c>
      <c r="E522">
        <v>1</v>
      </c>
      <c r="F522" s="7">
        <v>58.15</v>
      </c>
      <c r="G522">
        <v>650</v>
      </c>
      <c r="J522" t="s">
        <v>1350</v>
      </c>
      <c r="K522" s="8">
        <v>1</v>
      </c>
      <c r="L522" s="8">
        <v>1</v>
      </c>
      <c r="M522" t="str">
        <f t="shared" si="8"/>
        <v>3 plis-3plis meleze B C 19 mm</v>
      </c>
      <c r="N522" s="8">
        <v>1</v>
      </c>
      <c r="O522" s="8">
        <v>4</v>
      </c>
      <c r="P522" s="8" t="s">
        <v>1351</v>
      </c>
      <c r="Q522" s="8" t="s">
        <v>61</v>
      </c>
      <c r="R522" s="8" t="s">
        <v>62</v>
      </c>
      <c r="AB522" t="s">
        <v>1367</v>
      </c>
      <c r="AE522" s="8">
        <v>1</v>
      </c>
      <c r="AF522" s="8">
        <v>0</v>
      </c>
      <c r="AG522" s="8" t="s">
        <v>65</v>
      </c>
      <c r="AH522" s="8" t="s">
        <v>1353</v>
      </c>
      <c r="AI522" s="8">
        <v>1</v>
      </c>
      <c r="AJ522" s="8">
        <v>1</v>
      </c>
      <c r="AK522" s="8">
        <v>1</v>
      </c>
      <c r="AR522" s="8">
        <v>2790</v>
      </c>
      <c r="AS522" s="8">
        <v>2070</v>
      </c>
      <c r="AT522">
        <v>4532191</v>
      </c>
      <c r="AU522" s="8" t="s">
        <v>66</v>
      </c>
      <c r="AW522" s="8">
        <v>0</v>
      </c>
    </row>
    <row r="523" spans="1:49" x14ac:dyDescent="0.25">
      <c r="A523" t="s">
        <v>1368</v>
      </c>
      <c r="C523" t="s">
        <v>1369</v>
      </c>
      <c r="D523">
        <v>16</v>
      </c>
      <c r="E523">
        <v>0</v>
      </c>
      <c r="F523" s="7">
        <v>5.86</v>
      </c>
      <c r="G523">
        <v>650</v>
      </c>
      <c r="J523" t="s">
        <v>1370</v>
      </c>
      <c r="K523" s="8">
        <v>1</v>
      </c>
      <c r="L523" s="8">
        <v>1</v>
      </c>
      <c r="M523" t="str">
        <f t="shared" si="8"/>
        <v>Agglo 16 mm</v>
      </c>
      <c r="N523" s="8">
        <v>0</v>
      </c>
      <c r="O523" s="8">
        <v>1</v>
      </c>
      <c r="P523" s="8">
        <v>0</v>
      </c>
      <c r="Q523" s="8" t="s">
        <v>61</v>
      </c>
      <c r="R523" s="8" t="s">
        <v>62</v>
      </c>
      <c r="AB523" t="s">
        <v>1368</v>
      </c>
      <c r="AE523" s="8">
        <v>1</v>
      </c>
      <c r="AF523" s="8">
        <v>0</v>
      </c>
      <c r="AG523" s="8" t="s">
        <v>65</v>
      </c>
      <c r="AH523" s="8">
        <v>1</v>
      </c>
      <c r="AI523" s="8">
        <v>1</v>
      </c>
      <c r="AJ523" s="8">
        <v>1</v>
      </c>
      <c r="AK523" s="8">
        <v>1</v>
      </c>
      <c r="AR523" s="8">
        <v>2790</v>
      </c>
      <c r="AS523" s="8">
        <v>2070</v>
      </c>
      <c r="AT523">
        <v>1012160</v>
      </c>
      <c r="AU523" s="8" t="s">
        <v>66</v>
      </c>
      <c r="AW523" s="8">
        <v>0</v>
      </c>
    </row>
    <row r="524" spans="1:49" x14ac:dyDescent="0.25">
      <c r="A524" t="s">
        <v>1371</v>
      </c>
      <c r="C524" t="s">
        <v>1369</v>
      </c>
      <c r="D524">
        <v>19</v>
      </c>
      <c r="E524">
        <v>0</v>
      </c>
      <c r="F524" s="7">
        <v>7.57</v>
      </c>
      <c r="G524">
        <v>650</v>
      </c>
      <c r="J524" t="s">
        <v>1370</v>
      </c>
      <c r="K524" s="8">
        <v>1</v>
      </c>
      <c r="L524" s="8">
        <v>1</v>
      </c>
      <c r="M524" t="str">
        <f t="shared" si="8"/>
        <v>Agglo 19 mm</v>
      </c>
      <c r="N524" s="8">
        <v>0</v>
      </c>
      <c r="O524" s="8">
        <v>1</v>
      </c>
      <c r="P524" s="8">
        <v>0</v>
      </c>
      <c r="Q524" s="8" t="s">
        <v>61</v>
      </c>
      <c r="R524" s="8" t="s">
        <v>62</v>
      </c>
      <c r="AB524" t="s">
        <v>1371</v>
      </c>
      <c r="AE524" s="8">
        <v>1</v>
      </c>
      <c r="AF524" s="8">
        <v>0</v>
      </c>
      <c r="AG524" s="8" t="s">
        <v>65</v>
      </c>
      <c r="AH524" s="8">
        <v>1</v>
      </c>
      <c r="AI524" s="8">
        <v>1</v>
      </c>
      <c r="AJ524" s="8">
        <v>1</v>
      </c>
      <c r="AK524" s="8">
        <v>1</v>
      </c>
      <c r="AR524" s="8">
        <v>2790</v>
      </c>
      <c r="AS524" s="8">
        <v>2070</v>
      </c>
      <c r="AT524">
        <v>1012179</v>
      </c>
      <c r="AU524" s="8" t="s">
        <v>66</v>
      </c>
      <c r="AW524" s="8">
        <v>0</v>
      </c>
    </row>
    <row r="525" spans="1:49" x14ac:dyDescent="0.25">
      <c r="A525" t="s">
        <v>1372</v>
      </c>
      <c r="C525" t="s">
        <v>1369</v>
      </c>
      <c r="D525">
        <v>19</v>
      </c>
      <c r="E525">
        <v>0</v>
      </c>
      <c r="F525" s="7">
        <v>9</v>
      </c>
      <c r="G525">
        <v>650</v>
      </c>
      <c r="J525" t="s">
        <v>1370</v>
      </c>
      <c r="K525" s="8">
        <v>1</v>
      </c>
      <c r="L525" s="8">
        <v>1</v>
      </c>
      <c r="M525" t="str">
        <f t="shared" si="8"/>
        <v>Agglo 19mm Hydrofuge</v>
      </c>
      <c r="N525" s="8">
        <v>0</v>
      </c>
      <c r="O525" s="8">
        <v>1</v>
      </c>
      <c r="P525" s="8">
        <v>0</v>
      </c>
      <c r="Q525" s="8" t="s">
        <v>61</v>
      </c>
      <c r="R525" s="8" t="s">
        <v>62</v>
      </c>
      <c r="AB525" t="s">
        <v>1372</v>
      </c>
      <c r="AE525" s="8">
        <v>1</v>
      </c>
      <c r="AF525" s="8">
        <v>0</v>
      </c>
      <c r="AG525" s="8" t="s">
        <v>65</v>
      </c>
      <c r="AH525" s="8">
        <v>1</v>
      </c>
      <c r="AI525" s="8">
        <v>1</v>
      </c>
      <c r="AJ525" s="8">
        <v>1</v>
      </c>
      <c r="AK525" s="8">
        <v>1</v>
      </c>
      <c r="AR525" s="8">
        <v>2790</v>
      </c>
      <c r="AS525" s="8">
        <v>2070</v>
      </c>
      <c r="AT525">
        <v>1213567</v>
      </c>
      <c r="AU525" s="8" t="s">
        <v>66</v>
      </c>
      <c r="AW525" s="8">
        <v>0</v>
      </c>
    </row>
    <row r="526" spans="1:49" x14ac:dyDescent="0.25">
      <c r="A526" t="s">
        <v>1373</v>
      </c>
      <c r="C526" t="s">
        <v>1369</v>
      </c>
      <c r="D526">
        <v>22</v>
      </c>
      <c r="E526">
        <v>0</v>
      </c>
      <c r="F526" s="7">
        <v>9.66</v>
      </c>
      <c r="G526">
        <v>650</v>
      </c>
      <c r="J526" t="s">
        <v>1370</v>
      </c>
      <c r="K526" s="8">
        <v>1</v>
      </c>
      <c r="L526" s="8">
        <v>1</v>
      </c>
      <c r="M526" t="str">
        <f t="shared" si="8"/>
        <v>Agglo 22 mm</v>
      </c>
      <c r="N526" s="8">
        <v>0</v>
      </c>
      <c r="O526" s="8">
        <v>1</v>
      </c>
      <c r="P526" s="8">
        <v>0</v>
      </c>
      <c r="Q526" s="8" t="s">
        <v>61</v>
      </c>
      <c r="R526" s="8" t="s">
        <v>62</v>
      </c>
      <c r="AB526" t="s">
        <v>1373</v>
      </c>
      <c r="AE526" s="8">
        <v>1</v>
      </c>
      <c r="AF526" s="8">
        <v>0</v>
      </c>
      <c r="AG526" s="8" t="s">
        <v>65</v>
      </c>
      <c r="AH526" s="8">
        <v>1</v>
      </c>
      <c r="AI526" s="8">
        <v>1</v>
      </c>
      <c r="AJ526" s="8">
        <v>1</v>
      </c>
      <c r="AK526" s="8">
        <v>1</v>
      </c>
      <c r="AR526" s="8">
        <v>2790</v>
      </c>
      <c r="AS526" s="8">
        <v>2070</v>
      </c>
      <c r="AT526">
        <v>1012203</v>
      </c>
      <c r="AU526" s="8" t="s">
        <v>66</v>
      </c>
      <c r="AW526" s="8">
        <v>0</v>
      </c>
    </row>
    <row r="527" spans="1:49" x14ac:dyDescent="0.25">
      <c r="A527" t="s">
        <v>1374</v>
      </c>
      <c r="C527" t="s">
        <v>1369</v>
      </c>
      <c r="D527">
        <v>28</v>
      </c>
      <c r="E527">
        <v>0</v>
      </c>
      <c r="F527" s="7">
        <v>13.93</v>
      </c>
      <c r="G527">
        <v>650</v>
      </c>
      <c r="J527" t="s">
        <v>1370</v>
      </c>
      <c r="K527" s="8">
        <v>1</v>
      </c>
      <c r="L527" s="8">
        <v>1</v>
      </c>
      <c r="M527" t="str">
        <f t="shared" si="8"/>
        <v>Agglo 28 mm</v>
      </c>
      <c r="N527" s="8">
        <v>0</v>
      </c>
      <c r="O527" s="8">
        <v>1</v>
      </c>
      <c r="P527" s="8">
        <v>0</v>
      </c>
      <c r="Q527" s="8" t="s">
        <v>61</v>
      </c>
      <c r="R527" s="8" t="s">
        <v>62</v>
      </c>
      <c r="AB527" t="s">
        <v>1374</v>
      </c>
      <c r="AE527" s="8">
        <v>1</v>
      </c>
      <c r="AF527" s="8">
        <v>0</v>
      </c>
      <c r="AG527" s="8" t="s">
        <v>65</v>
      </c>
      <c r="AH527" s="8">
        <v>1</v>
      </c>
      <c r="AI527" s="8">
        <v>1</v>
      </c>
      <c r="AJ527" s="8">
        <v>1</v>
      </c>
      <c r="AK527" s="8">
        <v>1</v>
      </c>
      <c r="AR527" s="8">
        <v>2790</v>
      </c>
      <c r="AS527" s="8">
        <v>2070</v>
      </c>
      <c r="AT527">
        <v>7751460</v>
      </c>
      <c r="AU527" s="8" t="s">
        <v>66</v>
      </c>
      <c r="AW527" s="8">
        <v>0</v>
      </c>
    </row>
    <row r="528" spans="1:49" x14ac:dyDescent="0.25">
      <c r="A528" t="s">
        <v>1375</v>
      </c>
      <c r="C528" t="s">
        <v>1369</v>
      </c>
      <c r="D528">
        <v>38</v>
      </c>
      <c r="E528">
        <v>0</v>
      </c>
      <c r="F528" s="7">
        <v>24.24</v>
      </c>
      <c r="G528">
        <v>650</v>
      </c>
      <c r="J528" t="s">
        <v>1370</v>
      </c>
      <c r="K528" s="8">
        <v>1</v>
      </c>
      <c r="L528" s="8">
        <v>1</v>
      </c>
      <c r="M528" t="str">
        <f t="shared" si="8"/>
        <v>Agglo 38 mm</v>
      </c>
      <c r="N528" s="8">
        <v>0</v>
      </c>
      <c r="O528" s="8">
        <v>1</v>
      </c>
      <c r="P528" s="8">
        <v>0</v>
      </c>
      <c r="Q528" s="8" t="s">
        <v>61</v>
      </c>
      <c r="R528" s="8" t="s">
        <v>62</v>
      </c>
      <c r="AB528" t="s">
        <v>1375</v>
      </c>
      <c r="AE528" s="8">
        <v>1</v>
      </c>
      <c r="AF528" s="8">
        <v>0</v>
      </c>
      <c r="AG528" s="8" t="s">
        <v>65</v>
      </c>
      <c r="AH528" s="8">
        <v>1</v>
      </c>
      <c r="AI528" s="8">
        <v>1</v>
      </c>
      <c r="AJ528" s="8">
        <v>1</v>
      </c>
      <c r="AK528" s="8">
        <v>1</v>
      </c>
      <c r="AR528" s="8">
        <v>2790</v>
      </c>
      <c r="AS528" s="8">
        <v>2070</v>
      </c>
      <c r="AT528">
        <v>6109146</v>
      </c>
      <c r="AU528" s="8" t="s">
        <v>66</v>
      </c>
      <c r="AW528" s="8">
        <v>0</v>
      </c>
    </row>
    <row r="529" spans="1:49" x14ac:dyDescent="0.25">
      <c r="A529" t="s">
        <v>1376</v>
      </c>
      <c r="C529" t="s">
        <v>1369</v>
      </c>
      <c r="D529">
        <v>38</v>
      </c>
      <c r="E529">
        <v>0</v>
      </c>
      <c r="F529" s="7">
        <v>14.83</v>
      </c>
      <c r="G529">
        <v>650</v>
      </c>
      <c r="J529" t="s">
        <v>1370</v>
      </c>
      <c r="K529" s="8">
        <v>1</v>
      </c>
      <c r="L529" s="8">
        <v>1</v>
      </c>
      <c r="M529" t="str">
        <f t="shared" si="8"/>
        <v>Agglo Hydrofuge 38 mm</v>
      </c>
      <c r="N529" s="8">
        <v>0</v>
      </c>
      <c r="O529" s="8">
        <v>1</v>
      </c>
      <c r="P529" s="8">
        <v>0</v>
      </c>
      <c r="Q529" s="8" t="s">
        <v>61</v>
      </c>
      <c r="R529" s="8" t="s">
        <v>62</v>
      </c>
      <c r="AB529" t="s">
        <v>1376</v>
      </c>
      <c r="AE529" s="8">
        <v>1</v>
      </c>
      <c r="AF529" s="8">
        <v>0</v>
      </c>
      <c r="AG529" s="8" t="s">
        <v>65</v>
      </c>
      <c r="AH529" s="8">
        <v>1</v>
      </c>
      <c r="AI529" s="8">
        <v>1</v>
      </c>
      <c r="AJ529" s="8">
        <v>1</v>
      </c>
      <c r="AK529" s="8">
        <v>1</v>
      </c>
      <c r="AR529" s="8">
        <v>2790</v>
      </c>
      <c r="AS529" s="8">
        <v>2070</v>
      </c>
      <c r="AT529">
        <v>6927954</v>
      </c>
      <c r="AU529" s="8" t="s">
        <v>66</v>
      </c>
      <c r="AW529" s="8">
        <v>0</v>
      </c>
    </row>
    <row r="530" spans="1:49" x14ac:dyDescent="0.25">
      <c r="A530" t="s">
        <v>1377</v>
      </c>
      <c r="C530" t="s">
        <v>1369</v>
      </c>
      <c r="D530">
        <v>19</v>
      </c>
      <c r="E530">
        <v>0</v>
      </c>
      <c r="F530" s="7">
        <v>7.57</v>
      </c>
      <c r="G530">
        <v>650</v>
      </c>
      <c r="J530" t="s">
        <v>1370</v>
      </c>
      <c r="K530" s="8">
        <v>1</v>
      </c>
      <c r="L530" s="8">
        <v>1</v>
      </c>
      <c r="M530" t="str">
        <f t="shared" si="8"/>
        <v>Agglo replaque Chene 19 mm</v>
      </c>
      <c r="N530" s="8">
        <v>1</v>
      </c>
      <c r="O530" s="8">
        <v>1</v>
      </c>
      <c r="P530" s="8">
        <v>0</v>
      </c>
      <c r="Q530" s="8" t="s">
        <v>61</v>
      </c>
      <c r="R530" s="8" t="s">
        <v>62</v>
      </c>
      <c r="AB530" t="s">
        <v>1377</v>
      </c>
      <c r="AE530" s="8">
        <v>1</v>
      </c>
      <c r="AF530" s="8">
        <v>0</v>
      </c>
      <c r="AG530" s="8" t="s">
        <v>65</v>
      </c>
      <c r="AH530" s="8">
        <v>1</v>
      </c>
      <c r="AI530" s="8">
        <v>1</v>
      </c>
      <c r="AJ530" s="8">
        <v>1</v>
      </c>
      <c r="AK530" s="8">
        <v>1</v>
      </c>
      <c r="AR530" s="8">
        <v>2790</v>
      </c>
      <c r="AS530" s="8">
        <v>2070</v>
      </c>
      <c r="AT530">
        <v>1012179</v>
      </c>
      <c r="AU530" s="8" t="s">
        <v>66</v>
      </c>
      <c r="AW530" s="8">
        <v>0</v>
      </c>
    </row>
    <row r="531" spans="1:49" x14ac:dyDescent="0.25">
      <c r="A531" t="s">
        <v>1378</v>
      </c>
      <c r="C531" t="s">
        <v>1369</v>
      </c>
      <c r="D531">
        <v>19</v>
      </c>
      <c r="E531">
        <v>0</v>
      </c>
      <c r="F531" s="7">
        <v>7.57</v>
      </c>
      <c r="G531">
        <v>650</v>
      </c>
      <c r="J531" t="s">
        <v>1370</v>
      </c>
      <c r="K531" s="8">
        <v>1</v>
      </c>
      <c r="L531" s="8">
        <v>1</v>
      </c>
      <c r="M531" t="str">
        <f t="shared" si="8"/>
        <v>Agglo replaque Frene 19 mm</v>
      </c>
      <c r="N531" s="8">
        <v>1</v>
      </c>
      <c r="O531" s="8">
        <v>1</v>
      </c>
      <c r="P531" s="8">
        <v>0</v>
      </c>
      <c r="Q531" s="8" t="s">
        <v>61</v>
      </c>
      <c r="R531" s="8" t="s">
        <v>62</v>
      </c>
      <c r="AB531" t="s">
        <v>1378</v>
      </c>
      <c r="AE531" s="8">
        <v>1</v>
      </c>
      <c r="AF531" s="8">
        <v>0</v>
      </c>
      <c r="AG531" s="8" t="s">
        <v>65</v>
      </c>
      <c r="AH531" s="8">
        <v>1</v>
      </c>
      <c r="AI531" s="8">
        <v>1</v>
      </c>
      <c r="AJ531" s="8">
        <v>1</v>
      </c>
      <c r="AK531" s="8">
        <v>1</v>
      </c>
      <c r="AR531" s="8">
        <v>2790</v>
      </c>
      <c r="AS531" s="8">
        <v>2070</v>
      </c>
      <c r="AT531">
        <v>1012179</v>
      </c>
      <c r="AU531" s="8" t="s">
        <v>66</v>
      </c>
      <c r="AW531" s="8">
        <v>0</v>
      </c>
    </row>
    <row r="532" spans="1:49" x14ac:dyDescent="0.25">
      <c r="A532" t="s">
        <v>1379</v>
      </c>
      <c r="C532" t="s">
        <v>1380</v>
      </c>
      <c r="D532">
        <v>19</v>
      </c>
      <c r="E532">
        <v>0</v>
      </c>
      <c r="F532" s="7"/>
      <c r="G532">
        <v>650</v>
      </c>
      <c r="K532" s="8">
        <v>1</v>
      </c>
      <c r="L532" s="8">
        <v>1</v>
      </c>
      <c r="M532" t="str">
        <f t="shared" si="8"/>
        <v>Chute</v>
      </c>
      <c r="N532" s="8">
        <v>0</v>
      </c>
      <c r="O532" s="8">
        <v>1</v>
      </c>
      <c r="P532" s="8">
        <v>0</v>
      </c>
      <c r="Q532" s="8" t="s">
        <v>61</v>
      </c>
      <c r="R532" s="8" t="s">
        <v>62</v>
      </c>
      <c r="AB532" t="s">
        <v>1379</v>
      </c>
      <c r="AE532" s="8">
        <v>1</v>
      </c>
      <c r="AF532" s="8">
        <v>0</v>
      </c>
      <c r="AG532" s="8" t="s">
        <v>65</v>
      </c>
      <c r="AH532" s="8">
        <v>1</v>
      </c>
      <c r="AI532" s="8">
        <v>1</v>
      </c>
      <c r="AJ532" s="8">
        <v>1</v>
      </c>
      <c r="AK532" s="8">
        <v>1</v>
      </c>
      <c r="AR532" s="8">
        <v>3000</v>
      </c>
      <c r="AS532" s="8">
        <v>1500</v>
      </c>
      <c r="AU532" s="8" t="s">
        <v>66</v>
      </c>
      <c r="AW532" s="8">
        <v>0</v>
      </c>
    </row>
    <row r="533" spans="1:49" x14ac:dyDescent="0.25">
      <c r="A533" t="s">
        <v>1381</v>
      </c>
      <c r="C533" t="s">
        <v>1382</v>
      </c>
      <c r="D533">
        <v>10</v>
      </c>
      <c r="E533">
        <v>1</v>
      </c>
      <c r="F533" s="7">
        <v>47.37</v>
      </c>
      <c r="G533">
        <v>650</v>
      </c>
      <c r="J533" t="s">
        <v>1383</v>
      </c>
      <c r="K533" s="8">
        <v>1</v>
      </c>
      <c r="L533" s="8">
        <v>1</v>
      </c>
      <c r="M533" t="str">
        <f t="shared" si="8"/>
        <v>Contreplaque Bouleau 10 mm</v>
      </c>
      <c r="N533" s="8">
        <v>1</v>
      </c>
      <c r="O533" s="8">
        <v>4</v>
      </c>
      <c r="P533" s="8" t="s">
        <v>1351</v>
      </c>
      <c r="Q533" s="8" t="s">
        <v>61</v>
      </c>
      <c r="R533" s="8" t="s">
        <v>62</v>
      </c>
      <c r="AB533" t="s">
        <v>1381</v>
      </c>
      <c r="AE533" s="8">
        <v>1</v>
      </c>
      <c r="AF533" s="8">
        <v>0</v>
      </c>
      <c r="AG533" s="8" t="s">
        <v>65</v>
      </c>
      <c r="AH533" s="8" t="s">
        <v>1353</v>
      </c>
      <c r="AI533" s="8">
        <v>1</v>
      </c>
      <c r="AJ533" s="8">
        <v>1</v>
      </c>
      <c r="AK533" s="8">
        <v>1</v>
      </c>
      <c r="AR533" s="8">
        <v>3000</v>
      </c>
      <c r="AS533" s="8">
        <v>1500</v>
      </c>
      <c r="AT533">
        <v>4372581</v>
      </c>
      <c r="AU533" s="8" t="s">
        <v>66</v>
      </c>
      <c r="AW533" s="8">
        <v>0</v>
      </c>
    </row>
    <row r="534" spans="1:49" x14ac:dyDescent="0.25">
      <c r="A534" t="s">
        <v>1384</v>
      </c>
      <c r="C534" t="s">
        <v>1382</v>
      </c>
      <c r="D534">
        <v>12</v>
      </c>
      <c r="E534">
        <v>1</v>
      </c>
      <c r="F534" s="7">
        <v>26.75</v>
      </c>
      <c r="G534">
        <v>650</v>
      </c>
      <c r="J534" t="s">
        <v>1383</v>
      </c>
      <c r="K534" s="8">
        <v>1</v>
      </c>
      <c r="L534" s="8">
        <v>1</v>
      </c>
      <c r="M534" t="str">
        <f t="shared" si="8"/>
        <v>Contreplaque Bouleau 12 mm</v>
      </c>
      <c r="N534" s="8">
        <v>1</v>
      </c>
      <c r="O534" s="8">
        <v>4</v>
      </c>
      <c r="P534" s="8" t="s">
        <v>1351</v>
      </c>
      <c r="Q534" s="8" t="s">
        <v>61</v>
      </c>
      <c r="R534" s="8" t="s">
        <v>62</v>
      </c>
      <c r="AB534" t="s">
        <v>1384</v>
      </c>
      <c r="AE534" s="8">
        <v>1</v>
      </c>
      <c r="AF534" s="8">
        <v>0</v>
      </c>
      <c r="AG534" s="8" t="s">
        <v>65</v>
      </c>
      <c r="AH534" s="8" t="s">
        <v>1353</v>
      </c>
      <c r="AI534" s="8">
        <v>1</v>
      </c>
      <c r="AJ534" s="8">
        <v>1</v>
      </c>
      <c r="AK534" s="8">
        <v>1</v>
      </c>
      <c r="AR534" s="8">
        <v>3000</v>
      </c>
      <c r="AS534" s="8">
        <v>1500</v>
      </c>
      <c r="AT534">
        <v>4802110</v>
      </c>
      <c r="AU534" s="8" t="s">
        <v>66</v>
      </c>
      <c r="AW534" s="8">
        <v>0</v>
      </c>
    </row>
    <row r="535" spans="1:49" x14ac:dyDescent="0.25">
      <c r="A535" t="s">
        <v>1385</v>
      </c>
      <c r="C535" t="s">
        <v>1382</v>
      </c>
      <c r="D535">
        <v>15</v>
      </c>
      <c r="E535">
        <v>1</v>
      </c>
      <c r="F535" s="7">
        <v>31.03</v>
      </c>
      <c r="G535">
        <v>650</v>
      </c>
      <c r="J535" t="s">
        <v>1383</v>
      </c>
      <c r="K535" s="8">
        <v>1</v>
      </c>
      <c r="L535" s="8">
        <v>1</v>
      </c>
      <c r="M535" t="str">
        <f t="shared" si="8"/>
        <v>Contreplaque Bouleau 15 mm</v>
      </c>
      <c r="N535" s="8">
        <v>1</v>
      </c>
      <c r="O535" s="8">
        <v>4</v>
      </c>
      <c r="P535" s="8" t="s">
        <v>1351</v>
      </c>
      <c r="Q535" s="8" t="s">
        <v>61</v>
      </c>
      <c r="R535" s="8" t="s">
        <v>62</v>
      </c>
      <c r="AB535" t="s">
        <v>1385</v>
      </c>
      <c r="AE535" s="8">
        <v>1</v>
      </c>
      <c r="AF535" s="8">
        <v>0</v>
      </c>
      <c r="AG535" s="8" t="s">
        <v>65</v>
      </c>
      <c r="AH535" s="8" t="s">
        <v>1353</v>
      </c>
      <c r="AI535" s="8">
        <v>1</v>
      </c>
      <c r="AJ535" s="8">
        <v>1</v>
      </c>
      <c r="AK535" s="8">
        <v>1</v>
      </c>
      <c r="AR535" s="8">
        <v>3000</v>
      </c>
      <c r="AS535" s="8">
        <v>1500</v>
      </c>
      <c r="AT535">
        <v>4802111</v>
      </c>
      <c r="AU535" s="8" t="s">
        <v>66</v>
      </c>
      <c r="AW535" s="8">
        <v>0</v>
      </c>
    </row>
    <row r="536" spans="1:49" x14ac:dyDescent="0.25">
      <c r="A536" t="s">
        <v>1386</v>
      </c>
      <c r="C536" t="s">
        <v>1382</v>
      </c>
      <c r="D536">
        <v>18</v>
      </c>
      <c r="E536">
        <v>1</v>
      </c>
      <c r="F536" s="7">
        <v>36.99</v>
      </c>
      <c r="G536">
        <v>650</v>
      </c>
      <c r="J536" t="s">
        <v>1383</v>
      </c>
      <c r="K536" s="8">
        <v>1</v>
      </c>
      <c r="L536" s="8">
        <v>1</v>
      </c>
      <c r="M536" t="str">
        <f t="shared" si="8"/>
        <v>Contreplaque Bouleau 18 mm</v>
      </c>
      <c r="N536" s="8">
        <v>1</v>
      </c>
      <c r="O536" s="8">
        <v>4</v>
      </c>
      <c r="P536" s="8" t="s">
        <v>1351</v>
      </c>
      <c r="Q536" s="8" t="s">
        <v>61</v>
      </c>
      <c r="R536" s="8" t="s">
        <v>62</v>
      </c>
      <c r="AB536" t="s">
        <v>1386</v>
      </c>
      <c r="AE536" s="8">
        <v>1</v>
      </c>
      <c r="AF536" s="8">
        <v>0</v>
      </c>
      <c r="AG536" s="8" t="s">
        <v>65</v>
      </c>
      <c r="AH536" s="8" t="s">
        <v>1353</v>
      </c>
      <c r="AI536" s="8">
        <v>1</v>
      </c>
      <c r="AJ536" s="8">
        <v>1</v>
      </c>
      <c r="AK536" s="8">
        <v>1</v>
      </c>
      <c r="AR536" s="8">
        <v>3000</v>
      </c>
      <c r="AS536" s="8">
        <v>1500</v>
      </c>
      <c r="AT536">
        <v>4802112</v>
      </c>
      <c r="AU536" s="8" t="s">
        <v>66</v>
      </c>
      <c r="AW536" s="8">
        <v>0</v>
      </c>
    </row>
    <row r="537" spans="1:49" x14ac:dyDescent="0.25">
      <c r="A537" t="s">
        <v>1387</v>
      </c>
      <c r="C537" t="s">
        <v>1382</v>
      </c>
      <c r="D537">
        <v>21</v>
      </c>
      <c r="E537">
        <v>1</v>
      </c>
      <c r="F537" s="7">
        <v>61.77</v>
      </c>
      <c r="G537">
        <v>650</v>
      </c>
      <c r="J537" t="s">
        <v>1383</v>
      </c>
      <c r="K537" s="8">
        <v>1</v>
      </c>
      <c r="L537" s="8">
        <v>1</v>
      </c>
      <c r="M537" t="str">
        <f t="shared" si="8"/>
        <v>Contreplaque Bouleau 21 mm</v>
      </c>
      <c r="N537" s="8">
        <v>1</v>
      </c>
      <c r="O537" s="8">
        <v>4</v>
      </c>
      <c r="P537" s="8" t="s">
        <v>1351</v>
      </c>
      <c r="Q537" s="8" t="s">
        <v>61</v>
      </c>
      <c r="R537" s="8" t="s">
        <v>62</v>
      </c>
      <c r="AB537" t="s">
        <v>1387</v>
      </c>
      <c r="AE537" s="8">
        <v>1</v>
      </c>
      <c r="AF537" s="8">
        <v>0</v>
      </c>
      <c r="AG537" s="8" t="s">
        <v>65</v>
      </c>
      <c r="AH537" s="8" t="s">
        <v>1353</v>
      </c>
      <c r="AI537" s="8">
        <v>1</v>
      </c>
      <c r="AJ537" s="8">
        <v>1</v>
      </c>
      <c r="AK537" s="8">
        <v>1</v>
      </c>
      <c r="AR537" s="8">
        <v>3000</v>
      </c>
      <c r="AS537" s="8">
        <v>1500</v>
      </c>
      <c r="AT537">
        <v>4630453</v>
      </c>
      <c r="AU537" s="8" t="s">
        <v>66</v>
      </c>
      <c r="AW537" s="8">
        <v>0</v>
      </c>
    </row>
    <row r="538" spans="1:49" x14ac:dyDescent="0.25">
      <c r="A538" t="s">
        <v>1388</v>
      </c>
      <c r="C538" t="s">
        <v>1382</v>
      </c>
      <c r="D538">
        <v>24</v>
      </c>
      <c r="E538">
        <v>1</v>
      </c>
      <c r="F538" s="7">
        <v>69.16</v>
      </c>
      <c r="G538">
        <v>650</v>
      </c>
      <c r="J538" t="s">
        <v>1383</v>
      </c>
      <c r="K538" s="8">
        <v>1</v>
      </c>
      <c r="L538" s="8">
        <v>1</v>
      </c>
      <c r="M538" t="str">
        <f t="shared" si="8"/>
        <v>Contreplaque Bouleau 24 mm</v>
      </c>
      <c r="N538" s="8">
        <v>1</v>
      </c>
      <c r="O538" s="8">
        <v>4</v>
      </c>
      <c r="P538" s="8" t="s">
        <v>1351</v>
      </c>
      <c r="Q538" s="8" t="s">
        <v>61</v>
      </c>
      <c r="R538" s="8" t="s">
        <v>62</v>
      </c>
      <c r="AB538" t="s">
        <v>1388</v>
      </c>
      <c r="AE538" s="8">
        <v>1</v>
      </c>
      <c r="AF538" s="8">
        <v>0</v>
      </c>
      <c r="AG538" s="8" t="s">
        <v>65</v>
      </c>
      <c r="AH538" s="8" t="s">
        <v>1353</v>
      </c>
      <c r="AI538" s="8">
        <v>1</v>
      </c>
      <c r="AJ538" s="8">
        <v>1</v>
      </c>
      <c r="AK538" s="8">
        <v>1</v>
      </c>
      <c r="AR538" s="8">
        <v>3000</v>
      </c>
      <c r="AS538" s="8">
        <v>1500</v>
      </c>
      <c r="AT538">
        <v>4630454</v>
      </c>
      <c r="AU538" s="8" t="s">
        <v>66</v>
      </c>
      <c r="AW538" s="8">
        <v>0</v>
      </c>
    </row>
    <row r="539" spans="1:49" x14ac:dyDescent="0.25">
      <c r="A539" t="s">
        <v>1389</v>
      </c>
      <c r="C539" t="s">
        <v>1382</v>
      </c>
      <c r="D539">
        <v>30</v>
      </c>
      <c r="E539">
        <v>1</v>
      </c>
      <c r="F539" s="7">
        <v>80.3</v>
      </c>
      <c r="G539">
        <v>650</v>
      </c>
      <c r="J539" t="s">
        <v>1383</v>
      </c>
      <c r="K539" s="8">
        <v>1</v>
      </c>
      <c r="L539" s="8">
        <v>1</v>
      </c>
      <c r="M539" t="str">
        <f t="shared" si="8"/>
        <v>Contreplaque Bouleau 30 mm</v>
      </c>
      <c r="N539" s="8">
        <v>1</v>
      </c>
      <c r="O539" s="8">
        <v>4</v>
      </c>
      <c r="P539" s="8" t="s">
        <v>1351</v>
      </c>
      <c r="Q539" s="8" t="s">
        <v>61</v>
      </c>
      <c r="R539" s="8" t="s">
        <v>62</v>
      </c>
      <c r="AB539" t="s">
        <v>1389</v>
      </c>
      <c r="AE539" s="8">
        <v>1</v>
      </c>
      <c r="AF539" s="8">
        <v>0</v>
      </c>
      <c r="AG539" s="8" t="s">
        <v>65</v>
      </c>
      <c r="AH539" s="8" t="s">
        <v>1353</v>
      </c>
      <c r="AI539" s="8">
        <v>1</v>
      </c>
      <c r="AJ539" s="8">
        <v>1</v>
      </c>
      <c r="AK539" s="8">
        <v>1</v>
      </c>
      <c r="AR539" s="8">
        <v>3000</v>
      </c>
      <c r="AS539" s="8">
        <v>1500</v>
      </c>
      <c r="AT539">
        <v>4630456</v>
      </c>
      <c r="AU539" s="8" t="s">
        <v>66</v>
      </c>
      <c r="AW539" s="8">
        <v>0</v>
      </c>
    </row>
    <row r="540" spans="1:49" x14ac:dyDescent="0.25">
      <c r="A540" t="s">
        <v>1390</v>
      </c>
      <c r="C540" t="s">
        <v>1382</v>
      </c>
      <c r="D540">
        <v>48</v>
      </c>
      <c r="E540">
        <v>1</v>
      </c>
      <c r="F540" s="7"/>
      <c r="G540">
        <v>650</v>
      </c>
      <c r="J540" t="s">
        <v>1383</v>
      </c>
      <c r="K540" s="8">
        <v>1</v>
      </c>
      <c r="L540" s="8">
        <v>1</v>
      </c>
      <c r="M540" t="str">
        <f t="shared" si="8"/>
        <v>Contreplaque Bouleau 48 mm</v>
      </c>
      <c r="N540" s="8">
        <v>1</v>
      </c>
      <c r="O540" s="8">
        <v>4</v>
      </c>
      <c r="P540" s="8" t="s">
        <v>1351</v>
      </c>
      <c r="Q540" s="8" t="s">
        <v>61</v>
      </c>
      <c r="R540" s="8" t="s">
        <v>62</v>
      </c>
      <c r="AB540" t="s">
        <v>1390</v>
      </c>
      <c r="AE540" s="8">
        <v>1</v>
      </c>
      <c r="AF540" s="8">
        <v>0</v>
      </c>
      <c r="AG540" s="8" t="s">
        <v>65</v>
      </c>
      <c r="AH540" s="8" t="s">
        <v>1353</v>
      </c>
      <c r="AI540" s="8">
        <v>1</v>
      </c>
      <c r="AJ540" s="8">
        <v>1</v>
      </c>
      <c r="AK540" s="8">
        <v>1</v>
      </c>
      <c r="AR540" s="8">
        <v>3000</v>
      </c>
      <c r="AS540" s="8">
        <v>1500</v>
      </c>
      <c r="AU540" s="8" t="s">
        <v>66</v>
      </c>
      <c r="AW540" s="8">
        <v>0</v>
      </c>
    </row>
    <row r="541" spans="1:49" x14ac:dyDescent="0.25">
      <c r="A541" t="s">
        <v>1391</v>
      </c>
      <c r="C541" t="s">
        <v>1382</v>
      </c>
      <c r="D541">
        <v>9</v>
      </c>
      <c r="E541">
        <v>1</v>
      </c>
      <c r="F541" s="7">
        <v>43.45</v>
      </c>
      <c r="G541">
        <v>650</v>
      </c>
      <c r="J541" t="s">
        <v>1383</v>
      </c>
      <c r="K541" s="8">
        <v>1</v>
      </c>
      <c r="L541" s="8">
        <v>1</v>
      </c>
      <c r="M541" t="str">
        <f t="shared" si="8"/>
        <v>Contreplaque Bouleau 9 mm</v>
      </c>
      <c r="N541" s="8">
        <v>1</v>
      </c>
      <c r="O541" s="8">
        <v>4</v>
      </c>
      <c r="P541" s="8" t="s">
        <v>1351</v>
      </c>
      <c r="Q541" s="8" t="s">
        <v>61</v>
      </c>
      <c r="R541" s="8" t="s">
        <v>62</v>
      </c>
      <c r="AB541" t="s">
        <v>1391</v>
      </c>
      <c r="AE541" s="8">
        <v>1</v>
      </c>
      <c r="AF541" s="8">
        <v>0</v>
      </c>
      <c r="AG541" s="8" t="s">
        <v>65</v>
      </c>
      <c r="AH541" s="8" t="s">
        <v>1353</v>
      </c>
      <c r="AI541" s="8">
        <v>1</v>
      </c>
      <c r="AJ541" s="8">
        <v>1</v>
      </c>
      <c r="AK541" s="8">
        <v>1</v>
      </c>
      <c r="AR541" s="8">
        <v>3000</v>
      </c>
      <c r="AS541" s="8">
        <v>1500</v>
      </c>
      <c r="AT541">
        <v>4630448</v>
      </c>
      <c r="AU541" s="8" t="s">
        <v>66</v>
      </c>
      <c r="AW541" s="8">
        <v>0</v>
      </c>
    </row>
    <row r="542" spans="1:49" x14ac:dyDescent="0.25">
      <c r="A542" t="s">
        <v>1392</v>
      </c>
      <c r="C542" t="s">
        <v>1382</v>
      </c>
      <c r="D542">
        <v>8</v>
      </c>
      <c r="E542">
        <v>1</v>
      </c>
      <c r="F542" s="7"/>
      <c r="G542">
        <v>650</v>
      </c>
      <c r="J542" t="s">
        <v>1393</v>
      </c>
      <c r="K542" s="8">
        <v>1</v>
      </c>
      <c r="L542" s="8">
        <v>1</v>
      </c>
      <c r="M542" t="str">
        <f t="shared" si="8"/>
        <v>Contreplaque Cintrable 8 mm</v>
      </c>
      <c r="N542" s="8">
        <v>1</v>
      </c>
      <c r="O542" s="8">
        <v>4</v>
      </c>
      <c r="P542" s="8" t="s">
        <v>1351</v>
      </c>
      <c r="Q542" s="8" t="s">
        <v>61</v>
      </c>
      <c r="R542" s="8" t="s">
        <v>62</v>
      </c>
      <c r="AB542" t="s">
        <v>1392</v>
      </c>
      <c r="AE542" s="8">
        <v>1</v>
      </c>
      <c r="AF542" s="8">
        <v>0</v>
      </c>
      <c r="AG542" s="8" t="s">
        <v>65</v>
      </c>
      <c r="AH542" s="8" t="s">
        <v>1353</v>
      </c>
      <c r="AI542" s="8">
        <v>1</v>
      </c>
      <c r="AJ542" s="8">
        <v>1</v>
      </c>
      <c r="AK542" s="8">
        <v>1</v>
      </c>
      <c r="AR542" s="8">
        <v>3000</v>
      </c>
      <c r="AS542" s="8">
        <v>1500</v>
      </c>
      <c r="AU542" s="8" t="s">
        <v>66</v>
      </c>
      <c r="AW542" s="8">
        <v>0</v>
      </c>
    </row>
    <row r="543" spans="1:49" x14ac:dyDescent="0.25">
      <c r="A543" t="s">
        <v>1394</v>
      </c>
      <c r="B543">
        <v>4337257</v>
      </c>
      <c r="C543" t="s">
        <v>1382</v>
      </c>
      <c r="D543">
        <v>10</v>
      </c>
      <c r="E543">
        <v>1</v>
      </c>
      <c r="F543" s="7"/>
      <c r="G543">
        <v>650</v>
      </c>
      <c r="J543" t="s">
        <v>1393</v>
      </c>
      <c r="K543" s="8">
        <v>1</v>
      </c>
      <c r="L543" s="8">
        <v>1</v>
      </c>
      <c r="M543" t="str">
        <f t="shared" si="8"/>
        <v>Contreplaque Tout Peuplier Pop Linea - 250x122 cm - ep. 10 mm - choix BB BB</v>
      </c>
      <c r="N543" s="8">
        <v>1</v>
      </c>
      <c r="O543" s="8">
        <v>4</v>
      </c>
      <c r="P543" s="8" t="s">
        <v>1351</v>
      </c>
      <c r="Q543" s="8" t="s">
        <v>61</v>
      </c>
      <c r="R543" s="8" t="s">
        <v>62</v>
      </c>
      <c r="AB543" t="s">
        <v>1394</v>
      </c>
      <c r="AE543" s="8">
        <v>1</v>
      </c>
      <c r="AF543" s="8">
        <v>0</v>
      </c>
      <c r="AG543" s="8" t="s">
        <v>65</v>
      </c>
      <c r="AH543" s="8" t="s">
        <v>1353</v>
      </c>
      <c r="AI543" s="8">
        <v>1</v>
      </c>
      <c r="AJ543" s="8">
        <v>1</v>
      </c>
      <c r="AK543" s="8">
        <v>1</v>
      </c>
      <c r="AR543" s="8">
        <v>2500</v>
      </c>
      <c r="AS543" s="8">
        <v>1220</v>
      </c>
      <c r="AT543">
        <v>4337257</v>
      </c>
      <c r="AU543" s="8" t="s">
        <v>66</v>
      </c>
      <c r="AW543" s="8">
        <v>0</v>
      </c>
    </row>
    <row r="544" spans="1:49" x14ac:dyDescent="0.25">
      <c r="A544" t="s">
        <v>1395</v>
      </c>
      <c r="B544">
        <v>4337258</v>
      </c>
      <c r="C544" t="s">
        <v>1382</v>
      </c>
      <c r="D544">
        <v>15</v>
      </c>
      <c r="E544">
        <v>1</v>
      </c>
      <c r="F544" s="7"/>
      <c r="G544">
        <v>650</v>
      </c>
      <c r="J544" t="s">
        <v>1393</v>
      </c>
      <c r="K544" s="8">
        <v>1</v>
      </c>
      <c r="L544" s="8">
        <v>1</v>
      </c>
      <c r="M544" t="str">
        <f t="shared" si="8"/>
        <v>Contreplaque Tout Peuplier Pop Linea - 250x122 cm - ep. 15 mm - choix BB BB</v>
      </c>
      <c r="N544" s="8">
        <v>1</v>
      </c>
      <c r="O544" s="8">
        <v>4</v>
      </c>
      <c r="P544" s="8" t="s">
        <v>1351</v>
      </c>
      <c r="Q544" s="8" t="s">
        <v>61</v>
      </c>
      <c r="R544" s="8" t="s">
        <v>62</v>
      </c>
      <c r="AB544" t="s">
        <v>1395</v>
      </c>
      <c r="AE544" s="8">
        <v>1</v>
      </c>
      <c r="AF544" s="8">
        <v>0</v>
      </c>
      <c r="AG544" s="8" t="s">
        <v>65</v>
      </c>
      <c r="AH544" s="8" t="s">
        <v>1353</v>
      </c>
      <c r="AI544" s="8">
        <v>1</v>
      </c>
      <c r="AJ544" s="8">
        <v>1</v>
      </c>
      <c r="AK544" s="8">
        <v>1</v>
      </c>
      <c r="AR544" s="8">
        <v>2500</v>
      </c>
      <c r="AS544" s="8">
        <v>1220</v>
      </c>
      <c r="AT544">
        <v>4337258</v>
      </c>
      <c r="AU544" s="8" t="s">
        <v>66</v>
      </c>
      <c r="AW544" s="8">
        <v>0</v>
      </c>
    </row>
    <row r="545" spans="1:49" x14ac:dyDescent="0.25">
      <c r="A545" t="s">
        <v>1396</v>
      </c>
      <c r="B545">
        <v>4337259</v>
      </c>
      <c r="C545" t="s">
        <v>1382</v>
      </c>
      <c r="D545">
        <v>18</v>
      </c>
      <c r="E545">
        <v>1</v>
      </c>
      <c r="F545" s="7"/>
      <c r="G545">
        <v>650</v>
      </c>
      <c r="J545" t="s">
        <v>1393</v>
      </c>
      <c r="K545" s="8">
        <v>1</v>
      </c>
      <c r="L545" s="8">
        <v>1</v>
      </c>
      <c r="M545" t="str">
        <f t="shared" si="8"/>
        <v>Contreplaque Tout Peuplier Pop Linea - 250x122 cm - ep. 18 mm - choix BB BB</v>
      </c>
      <c r="N545" s="8">
        <v>1</v>
      </c>
      <c r="O545" s="8">
        <v>4</v>
      </c>
      <c r="P545" s="8" t="s">
        <v>1351</v>
      </c>
      <c r="Q545" s="8" t="s">
        <v>61</v>
      </c>
      <c r="R545" s="8" t="s">
        <v>62</v>
      </c>
      <c r="AB545" t="s">
        <v>1396</v>
      </c>
      <c r="AE545" s="8">
        <v>1</v>
      </c>
      <c r="AF545" s="8">
        <v>0</v>
      </c>
      <c r="AG545" s="8" t="s">
        <v>65</v>
      </c>
      <c r="AH545" s="8" t="s">
        <v>1353</v>
      </c>
      <c r="AI545" s="8">
        <v>1</v>
      </c>
      <c r="AJ545" s="8">
        <v>1</v>
      </c>
      <c r="AK545" s="8">
        <v>1</v>
      </c>
      <c r="AR545" s="8">
        <v>2500</v>
      </c>
      <c r="AS545" s="8">
        <v>1220</v>
      </c>
      <c r="AT545">
        <v>4337259</v>
      </c>
      <c r="AU545" s="8" t="s">
        <v>66</v>
      </c>
      <c r="AW545" s="8">
        <v>0</v>
      </c>
    </row>
    <row r="546" spans="1:49" x14ac:dyDescent="0.25">
      <c r="A546" t="s">
        <v>1397</v>
      </c>
      <c r="B546">
        <v>4337260</v>
      </c>
      <c r="C546" t="s">
        <v>1382</v>
      </c>
      <c r="D546">
        <v>21</v>
      </c>
      <c r="E546">
        <v>1</v>
      </c>
      <c r="F546" s="7"/>
      <c r="G546">
        <v>650</v>
      </c>
      <c r="J546" t="s">
        <v>1393</v>
      </c>
      <c r="K546" s="8">
        <v>1</v>
      </c>
      <c r="L546" s="8">
        <v>1</v>
      </c>
      <c r="M546" t="str">
        <f t="shared" si="8"/>
        <v>Contreplaque Tout Peuplier Pop Linea - 250x122 cm - ep. 21 mm - choix BB BB</v>
      </c>
      <c r="N546" s="8">
        <v>1</v>
      </c>
      <c r="O546" s="8">
        <v>4</v>
      </c>
      <c r="P546" s="8" t="s">
        <v>1351</v>
      </c>
      <c r="Q546" s="8" t="s">
        <v>61</v>
      </c>
      <c r="R546" s="8" t="s">
        <v>62</v>
      </c>
      <c r="AB546" t="s">
        <v>1397</v>
      </c>
      <c r="AE546" s="8">
        <v>1</v>
      </c>
      <c r="AF546" s="8">
        <v>0</v>
      </c>
      <c r="AG546" s="8" t="s">
        <v>65</v>
      </c>
      <c r="AH546" s="8" t="s">
        <v>1353</v>
      </c>
      <c r="AI546" s="8">
        <v>1</v>
      </c>
      <c r="AJ546" s="8">
        <v>1</v>
      </c>
      <c r="AK546" s="8">
        <v>1</v>
      </c>
      <c r="AR546" s="8">
        <v>2500</v>
      </c>
      <c r="AS546" s="8">
        <v>1220</v>
      </c>
      <c r="AT546">
        <v>4337260</v>
      </c>
      <c r="AU546" s="8" t="s">
        <v>66</v>
      </c>
      <c r="AW546" s="8">
        <v>0</v>
      </c>
    </row>
    <row r="547" spans="1:49" x14ac:dyDescent="0.25">
      <c r="A547" t="s">
        <v>1398</v>
      </c>
      <c r="B547">
        <v>4337256</v>
      </c>
      <c r="C547" t="s">
        <v>1382</v>
      </c>
      <c r="D547">
        <v>5</v>
      </c>
      <c r="E547">
        <v>1</v>
      </c>
      <c r="F547" s="7"/>
      <c r="G547">
        <v>650</v>
      </c>
      <c r="J547" t="s">
        <v>1393</v>
      </c>
      <c r="K547" s="8">
        <v>1</v>
      </c>
      <c r="L547" s="8">
        <v>1</v>
      </c>
      <c r="M547" t="str">
        <f t="shared" si="8"/>
        <v>Contreplaque Tout Peuplier Pop Linea - 250x122 cm - ep. 5 mm - choix BB BB</v>
      </c>
      <c r="N547" s="8">
        <v>1</v>
      </c>
      <c r="O547" s="8">
        <v>4</v>
      </c>
      <c r="P547" s="8" t="s">
        <v>1351</v>
      </c>
      <c r="Q547" s="8" t="s">
        <v>61</v>
      </c>
      <c r="R547" s="8" t="s">
        <v>62</v>
      </c>
      <c r="AB547" t="s">
        <v>1398</v>
      </c>
      <c r="AE547" s="8">
        <v>1</v>
      </c>
      <c r="AF547" s="8">
        <v>0</v>
      </c>
      <c r="AG547" s="8" t="s">
        <v>65</v>
      </c>
      <c r="AH547" s="8" t="s">
        <v>1353</v>
      </c>
      <c r="AI547" s="8">
        <v>1</v>
      </c>
      <c r="AJ547" s="8">
        <v>1</v>
      </c>
      <c r="AK547" s="8">
        <v>1</v>
      </c>
      <c r="AR547" s="8">
        <v>2500</v>
      </c>
      <c r="AS547" s="8">
        <v>1220</v>
      </c>
      <c r="AT547">
        <v>4337256</v>
      </c>
      <c r="AU547" s="8" t="s">
        <v>66</v>
      </c>
      <c r="AW547" s="8">
        <v>0</v>
      </c>
    </row>
    <row r="548" spans="1:49" x14ac:dyDescent="0.25">
      <c r="A548" t="s">
        <v>1399</v>
      </c>
      <c r="B548">
        <v>4337262</v>
      </c>
      <c r="C548" t="s">
        <v>1382</v>
      </c>
      <c r="D548">
        <v>10</v>
      </c>
      <c r="E548">
        <v>1</v>
      </c>
      <c r="F548" s="7"/>
      <c r="G548">
        <v>650</v>
      </c>
      <c r="J548" t="s">
        <v>1393</v>
      </c>
      <c r="K548" s="8">
        <v>1</v>
      </c>
      <c r="L548" s="8">
        <v>1</v>
      </c>
      <c r="M548" t="str">
        <f t="shared" si="8"/>
        <v>Contreplaque Tout Peuplier Pop Linea - 300x150 cm - ep. 10 mm - choix BB BB</v>
      </c>
      <c r="N548" s="8">
        <v>1</v>
      </c>
      <c r="O548" s="8">
        <v>4</v>
      </c>
      <c r="P548" s="8" t="s">
        <v>1351</v>
      </c>
      <c r="Q548" s="8" t="s">
        <v>61</v>
      </c>
      <c r="R548" s="8" t="s">
        <v>62</v>
      </c>
      <c r="AB548" t="s">
        <v>1399</v>
      </c>
      <c r="AE548" s="8">
        <v>1</v>
      </c>
      <c r="AF548" s="8">
        <v>0</v>
      </c>
      <c r="AG548" s="8" t="s">
        <v>65</v>
      </c>
      <c r="AH548" s="8" t="s">
        <v>1353</v>
      </c>
      <c r="AI548" s="8">
        <v>1</v>
      </c>
      <c r="AJ548" s="8">
        <v>1</v>
      </c>
      <c r="AK548" s="8">
        <v>1</v>
      </c>
      <c r="AR548" s="8">
        <v>3000</v>
      </c>
      <c r="AS548" s="8">
        <v>1500</v>
      </c>
      <c r="AT548">
        <v>4337262</v>
      </c>
      <c r="AU548" s="8" t="s">
        <v>66</v>
      </c>
      <c r="AW548" s="8">
        <v>0</v>
      </c>
    </row>
    <row r="549" spans="1:49" x14ac:dyDescent="0.25">
      <c r="A549" t="s">
        <v>1400</v>
      </c>
      <c r="B549">
        <v>4337263</v>
      </c>
      <c r="C549" t="s">
        <v>1382</v>
      </c>
      <c r="D549">
        <v>15</v>
      </c>
      <c r="E549">
        <v>1</v>
      </c>
      <c r="F549" s="7"/>
      <c r="G549">
        <v>650</v>
      </c>
      <c r="J549" t="s">
        <v>1393</v>
      </c>
      <c r="K549" s="8">
        <v>1</v>
      </c>
      <c r="L549" s="8">
        <v>1</v>
      </c>
      <c r="M549" t="str">
        <f t="shared" si="8"/>
        <v>Contreplaque Tout Peuplier Pop Linea - 300x150 cm - ep. 15 mm - choix BB BB</v>
      </c>
      <c r="N549" s="8">
        <v>1</v>
      </c>
      <c r="O549" s="8">
        <v>4</v>
      </c>
      <c r="P549" s="8" t="s">
        <v>1351</v>
      </c>
      <c r="Q549" s="8" t="s">
        <v>61</v>
      </c>
      <c r="R549" s="8" t="s">
        <v>62</v>
      </c>
      <c r="AB549" t="s">
        <v>1400</v>
      </c>
      <c r="AE549" s="8">
        <v>1</v>
      </c>
      <c r="AF549" s="8">
        <v>0</v>
      </c>
      <c r="AG549" s="8" t="s">
        <v>65</v>
      </c>
      <c r="AH549" s="8" t="s">
        <v>1353</v>
      </c>
      <c r="AI549" s="8">
        <v>1</v>
      </c>
      <c r="AJ549" s="8">
        <v>1</v>
      </c>
      <c r="AK549" s="8">
        <v>1</v>
      </c>
      <c r="AR549" s="8">
        <v>3000</v>
      </c>
      <c r="AS549" s="8">
        <v>1500</v>
      </c>
      <c r="AT549">
        <v>4337263</v>
      </c>
      <c r="AU549" s="8" t="s">
        <v>66</v>
      </c>
      <c r="AW549" s="8">
        <v>0</v>
      </c>
    </row>
    <row r="550" spans="1:49" x14ac:dyDescent="0.25">
      <c r="A550" t="s">
        <v>1401</v>
      </c>
      <c r="B550">
        <v>4337264</v>
      </c>
      <c r="C550" t="s">
        <v>1382</v>
      </c>
      <c r="D550">
        <v>18</v>
      </c>
      <c r="E550">
        <v>1</v>
      </c>
      <c r="F550" s="7"/>
      <c r="G550">
        <v>650</v>
      </c>
      <c r="J550" t="s">
        <v>1393</v>
      </c>
      <c r="K550" s="8">
        <v>1</v>
      </c>
      <c r="L550" s="8">
        <v>1</v>
      </c>
      <c r="M550" t="str">
        <f t="shared" si="8"/>
        <v>Contreplaque Tout Peuplier Pop Linea - 300x150 cm - ep. 18 mm - choix BB BB</v>
      </c>
      <c r="N550" s="8">
        <v>1</v>
      </c>
      <c r="O550" s="8">
        <v>4</v>
      </c>
      <c r="P550" s="8" t="s">
        <v>1351</v>
      </c>
      <c r="Q550" s="8" t="s">
        <v>61</v>
      </c>
      <c r="R550" s="8" t="s">
        <v>62</v>
      </c>
      <c r="AB550" t="s">
        <v>1401</v>
      </c>
      <c r="AE550" s="8">
        <v>1</v>
      </c>
      <c r="AF550" s="8">
        <v>0</v>
      </c>
      <c r="AG550" s="8" t="s">
        <v>65</v>
      </c>
      <c r="AH550" s="8" t="s">
        <v>1353</v>
      </c>
      <c r="AI550" s="8">
        <v>1</v>
      </c>
      <c r="AJ550" s="8">
        <v>1</v>
      </c>
      <c r="AK550" s="8">
        <v>1</v>
      </c>
      <c r="AR550" s="8">
        <v>3000</v>
      </c>
      <c r="AS550" s="8">
        <v>1500</v>
      </c>
      <c r="AT550">
        <v>4337264</v>
      </c>
      <c r="AU550" s="8" t="s">
        <v>66</v>
      </c>
      <c r="AW550" s="8">
        <v>0</v>
      </c>
    </row>
    <row r="551" spans="1:49" x14ac:dyDescent="0.25">
      <c r="A551" t="s">
        <v>1402</v>
      </c>
      <c r="B551">
        <v>4337265</v>
      </c>
      <c r="C551" t="s">
        <v>1382</v>
      </c>
      <c r="D551">
        <v>21</v>
      </c>
      <c r="E551">
        <v>1</v>
      </c>
      <c r="F551" s="7"/>
      <c r="G551">
        <v>650</v>
      </c>
      <c r="J551" t="s">
        <v>1393</v>
      </c>
      <c r="K551" s="8">
        <v>1</v>
      </c>
      <c r="L551" s="8">
        <v>1</v>
      </c>
      <c r="M551" t="str">
        <f t="shared" si="8"/>
        <v>Contreplaque Tout Peuplier Pop Linea - 300x150 cm - ep. 21 mm - choix BB BB</v>
      </c>
      <c r="N551" s="8">
        <v>1</v>
      </c>
      <c r="O551" s="8">
        <v>4</v>
      </c>
      <c r="P551" s="8" t="s">
        <v>1351</v>
      </c>
      <c r="Q551" s="8" t="s">
        <v>61</v>
      </c>
      <c r="R551" s="8" t="s">
        <v>62</v>
      </c>
      <c r="AB551" t="s">
        <v>1402</v>
      </c>
      <c r="AE551" s="8">
        <v>1</v>
      </c>
      <c r="AF551" s="8">
        <v>0</v>
      </c>
      <c r="AG551" s="8" t="s">
        <v>65</v>
      </c>
      <c r="AH551" s="8" t="s">
        <v>1353</v>
      </c>
      <c r="AI551" s="8">
        <v>1</v>
      </c>
      <c r="AJ551" s="8">
        <v>1</v>
      </c>
      <c r="AK551" s="8">
        <v>1</v>
      </c>
      <c r="AR551" s="8">
        <v>3000</v>
      </c>
      <c r="AS551" s="8">
        <v>1500</v>
      </c>
      <c r="AT551">
        <v>4337265</v>
      </c>
      <c r="AU551" s="8" t="s">
        <v>66</v>
      </c>
      <c r="AW551" s="8">
        <v>0</v>
      </c>
    </row>
    <row r="552" spans="1:49" x14ac:dyDescent="0.25">
      <c r="A552" t="s">
        <v>1403</v>
      </c>
      <c r="B552">
        <v>4337261</v>
      </c>
      <c r="C552" t="s">
        <v>1382</v>
      </c>
      <c r="D552">
        <v>5</v>
      </c>
      <c r="E552">
        <v>1</v>
      </c>
      <c r="F552" s="7"/>
      <c r="G552">
        <v>650</v>
      </c>
      <c r="J552" t="s">
        <v>1393</v>
      </c>
      <c r="K552" s="8">
        <v>1</v>
      </c>
      <c r="L552" s="8">
        <v>1</v>
      </c>
      <c r="M552" t="str">
        <f t="shared" si="8"/>
        <v>Contreplaque Tout Peuplier Pop Linea - 300x150 cm - ep. 5 mm - choix BB BB</v>
      </c>
      <c r="N552" s="8">
        <v>1</v>
      </c>
      <c r="O552" s="8">
        <v>4</v>
      </c>
      <c r="P552" s="8" t="s">
        <v>1351</v>
      </c>
      <c r="Q552" s="8" t="s">
        <v>61</v>
      </c>
      <c r="R552" s="8" t="s">
        <v>62</v>
      </c>
      <c r="AB552" t="s">
        <v>1403</v>
      </c>
      <c r="AE552" s="8">
        <v>1</v>
      </c>
      <c r="AF552" s="8">
        <v>0</v>
      </c>
      <c r="AG552" s="8" t="s">
        <v>65</v>
      </c>
      <c r="AH552" s="8" t="s">
        <v>1353</v>
      </c>
      <c r="AI552" s="8">
        <v>1</v>
      </c>
      <c r="AJ552" s="8">
        <v>1</v>
      </c>
      <c r="AK552" s="8">
        <v>1</v>
      </c>
      <c r="AR552" s="8">
        <v>3000</v>
      </c>
      <c r="AS552" s="8">
        <v>1500</v>
      </c>
      <c r="AT552">
        <v>4337261</v>
      </c>
      <c r="AU552" s="8" t="s">
        <v>66</v>
      </c>
      <c r="AW552" s="8">
        <v>0</v>
      </c>
    </row>
    <row r="553" spans="1:49" x14ac:dyDescent="0.25">
      <c r="A553" t="s">
        <v>1404</v>
      </c>
      <c r="C553" t="s">
        <v>1380</v>
      </c>
      <c r="D553">
        <v>19</v>
      </c>
      <c r="E553">
        <v>0</v>
      </c>
      <c r="F553" s="7"/>
      <c r="G553">
        <v>750</v>
      </c>
      <c r="K553" s="8">
        <v>1</v>
      </c>
      <c r="L553" s="8">
        <v>1</v>
      </c>
      <c r="M553" t="str">
        <f t="shared" si="8"/>
        <v>EGGER Decors</v>
      </c>
      <c r="N553" s="8">
        <v>0</v>
      </c>
      <c r="O553" s="8">
        <v>1</v>
      </c>
      <c r="P553" s="8">
        <v>0</v>
      </c>
      <c r="Q553" s="8" t="s">
        <v>61</v>
      </c>
      <c r="R553" s="8" t="s">
        <v>62</v>
      </c>
      <c r="AB553" t="s">
        <v>1404</v>
      </c>
      <c r="AE553" s="8">
        <v>1</v>
      </c>
      <c r="AF553" s="8">
        <v>0</v>
      </c>
      <c r="AG553" s="8" t="s">
        <v>65</v>
      </c>
      <c r="AH553" s="8">
        <v>1</v>
      </c>
      <c r="AI553" s="8">
        <v>1</v>
      </c>
      <c r="AJ553" s="8">
        <v>1</v>
      </c>
      <c r="AK553" s="8">
        <v>1</v>
      </c>
      <c r="AR553" s="8">
        <v>2790</v>
      </c>
      <c r="AS553" s="8">
        <v>2070</v>
      </c>
      <c r="AU553" s="8" t="s">
        <v>66</v>
      </c>
      <c r="AW553" s="8">
        <v>0</v>
      </c>
    </row>
    <row r="554" spans="1:49" x14ac:dyDescent="0.25">
      <c r="A554" t="s">
        <v>1405</v>
      </c>
      <c r="C554" t="s">
        <v>1406</v>
      </c>
      <c r="D554">
        <v>10</v>
      </c>
      <c r="E554">
        <v>0</v>
      </c>
      <c r="F554" s="7">
        <v>9.85</v>
      </c>
      <c r="G554">
        <v>750</v>
      </c>
      <c r="J554" t="s">
        <v>1407</v>
      </c>
      <c r="K554" s="8">
        <v>1</v>
      </c>
      <c r="L554" s="8">
        <v>1</v>
      </c>
      <c r="M554" t="str">
        <f t="shared" si="8"/>
        <v>MDF Medium standard 10mm</v>
      </c>
      <c r="N554" s="8">
        <v>0</v>
      </c>
      <c r="O554" s="8">
        <v>1</v>
      </c>
      <c r="P554" s="8">
        <v>0</v>
      </c>
      <c r="Q554" s="8" t="s">
        <v>61</v>
      </c>
      <c r="R554" s="8" t="s">
        <v>62</v>
      </c>
      <c r="AB554" t="s">
        <v>1405</v>
      </c>
      <c r="AE554" s="8">
        <v>1</v>
      </c>
      <c r="AF554" s="8">
        <v>0</v>
      </c>
      <c r="AG554" s="8" t="s">
        <v>65</v>
      </c>
      <c r="AH554" s="8">
        <v>1</v>
      </c>
      <c r="AI554" s="8">
        <v>1</v>
      </c>
      <c r="AJ554" s="8">
        <v>1</v>
      </c>
      <c r="AK554" s="8">
        <v>1</v>
      </c>
      <c r="AR554" s="8">
        <v>2790</v>
      </c>
      <c r="AS554" s="8">
        <v>2070</v>
      </c>
      <c r="AT554">
        <v>1014582</v>
      </c>
      <c r="AU554" s="8" t="s">
        <v>66</v>
      </c>
      <c r="AW554" s="8">
        <v>0</v>
      </c>
    </row>
    <row r="555" spans="1:49" x14ac:dyDescent="0.25">
      <c r="A555" t="s">
        <v>1408</v>
      </c>
      <c r="C555" t="s">
        <v>1406</v>
      </c>
      <c r="D555">
        <v>12</v>
      </c>
      <c r="E555">
        <v>0</v>
      </c>
      <c r="F555" s="7">
        <v>10.98</v>
      </c>
      <c r="G555">
        <v>750</v>
      </c>
      <c r="J555" t="s">
        <v>1407</v>
      </c>
      <c r="K555" s="8">
        <v>1</v>
      </c>
      <c r="L555" s="8">
        <v>1</v>
      </c>
      <c r="M555" t="str">
        <f t="shared" si="8"/>
        <v>MDF Medium standard 12mm</v>
      </c>
      <c r="N555" s="8">
        <v>0</v>
      </c>
      <c r="O555" s="8">
        <v>1</v>
      </c>
      <c r="P555" s="8">
        <v>0</v>
      </c>
      <c r="Q555" s="8" t="s">
        <v>61</v>
      </c>
      <c r="R555" s="8" t="s">
        <v>62</v>
      </c>
      <c r="AB555" t="s">
        <v>1408</v>
      </c>
      <c r="AE555" s="8">
        <v>1</v>
      </c>
      <c r="AF555" s="8">
        <v>0</v>
      </c>
      <c r="AG555" s="8" t="s">
        <v>65</v>
      </c>
      <c r="AH555" s="8">
        <v>1</v>
      </c>
      <c r="AI555" s="8">
        <v>1</v>
      </c>
      <c r="AJ555" s="8">
        <v>1</v>
      </c>
      <c r="AK555" s="8">
        <v>1</v>
      </c>
      <c r="AR555" s="8">
        <v>2790</v>
      </c>
      <c r="AS555" s="8">
        <v>2070</v>
      </c>
      <c r="AT555">
        <v>1014583</v>
      </c>
      <c r="AU555" s="8" t="s">
        <v>66</v>
      </c>
      <c r="AW555" s="8">
        <v>0</v>
      </c>
    </row>
    <row r="556" spans="1:49" x14ac:dyDescent="0.25">
      <c r="A556" t="s">
        <v>1409</v>
      </c>
      <c r="C556" t="s">
        <v>1406</v>
      </c>
      <c r="D556">
        <v>16</v>
      </c>
      <c r="E556">
        <v>0</v>
      </c>
      <c r="F556" s="7">
        <v>13.7</v>
      </c>
      <c r="G556">
        <v>750</v>
      </c>
      <c r="J556" t="s">
        <v>1407</v>
      </c>
      <c r="K556" s="8">
        <v>1</v>
      </c>
      <c r="L556" s="8">
        <v>1</v>
      </c>
      <c r="M556" t="str">
        <f t="shared" si="8"/>
        <v>MDF Medium standard 16mm</v>
      </c>
      <c r="N556" s="8">
        <v>0</v>
      </c>
      <c r="O556" s="8">
        <v>1</v>
      </c>
      <c r="P556" s="8">
        <v>0</v>
      </c>
      <c r="Q556" s="8" t="s">
        <v>61</v>
      </c>
      <c r="R556" s="8" t="s">
        <v>62</v>
      </c>
      <c r="AB556" t="s">
        <v>1409</v>
      </c>
      <c r="AE556" s="8">
        <v>1</v>
      </c>
      <c r="AF556" s="8">
        <v>0</v>
      </c>
      <c r="AG556" s="8" t="s">
        <v>65</v>
      </c>
      <c r="AH556" s="8">
        <v>1</v>
      </c>
      <c r="AI556" s="8">
        <v>1</v>
      </c>
      <c r="AJ556" s="8">
        <v>1</v>
      </c>
      <c r="AK556" s="8">
        <v>1</v>
      </c>
      <c r="AR556" s="8">
        <v>2790</v>
      </c>
      <c r="AS556" s="8">
        <v>2070</v>
      </c>
      <c r="AT556">
        <v>1014584</v>
      </c>
      <c r="AU556" s="8" t="s">
        <v>66</v>
      </c>
      <c r="AW556" s="8">
        <v>0</v>
      </c>
    </row>
    <row r="557" spans="1:49" x14ac:dyDescent="0.25">
      <c r="A557" t="s">
        <v>1410</v>
      </c>
      <c r="C557" t="s">
        <v>1406</v>
      </c>
      <c r="D557">
        <v>19</v>
      </c>
      <c r="E557">
        <v>0</v>
      </c>
      <c r="F557" s="7">
        <v>13.77</v>
      </c>
      <c r="G557">
        <v>750</v>
      </c>
      <c r="J557" t="s">
        <v>1407</v>
      </c>
      <c r="K557" s="8">
        <v>1</v>
      </c>
      <c r="L557" s="8">
        <v>1</v>
      </c>
      <c r="M557" t="str">
        <f t="shared" si="8"/>
        <v>MDF Medium standard 19mm</v>
      </c>
      <c r="N557" s="8">
        <v>0</v>
      </c>
      <c r="O557" s="8">
        <v>1</v>
      </c>
      <c r="P557" s="8">
        <v>0</v>
      </c>
      <c r="Q557" s="8" t="s">
        <v>61</v>
      </c>
      <c r="R557" s="8" t="s">
        <v>62</v>
      </c>
      <c r="AB557" t="s">
        <v>1410</v>
      </c>
      <c r="AE557" s="8">
        <v>1</v>
      </c>
      <c r="AF557" s="8">
        <v>0</v>
      </c>
      <c r="AG557" s="8" t="s">
        <v>65</v>
      </c>
      <c r="AH557" s="8">
        <v>1</v>
      </c>
      <c r="AI557" s="8">
        <v>1</v>
      </c>
      <c r="AJ557" s="8">
        <v>1</v>
      </c>
      <c r="AK557" s="8">
        <v>1</v>
      </c>
      <c r="AR557" s="8">
        <v>2790</v>
      </c>
      <c r="AS557" s="8">
        <v>2070</v>
      </c>
      <c r="AT557">
        <v>1014585</v>
      </c>
      <c r="AU557" s="8" t="s">
        <v>66</v>
      </c>
      <c r="AW557" s="8">
        <v>0</v>
      </c>
    </row>
    <row r="558" spans="1:49" x14ac:dyDescent="0.25">
      <c r="A558" t="s">
        <v>1411</v>
      </c>
      <c r="C558" t="s">
        <v>1406</v>
      </c>
      <c r="D558">
        <v>22</v>
      </c>
      <c r="E558">
        <v>0</v>
      </c>
      <c r="F558" s="7">
        <v>18.399999999999999</v>
      </c>
      <c r="G558">
        <v>750</v>
      </c>
      <c r="J558" t="s">
        <v>1407</v>
      </c>
      <c r="K558" s="8">
        <v>1</v>
      </c>
      <c r="L558" s="8">
        <v>1</v>
      </c>
      <c r="M558" t="str">
        <f t="shared" si="8"/>
        <v>MDF Medium standard 22mm</v>
      </c>
      <c r="N558" s="8">
        <v>0</v>
      </c>
      <c r="O558" s="8">
        <v>1</v>
      </c>
      <c r="P558" s="8">
        <v>0</v>
      </c>
      <c r="Q558" s="8" t="s">
        <v>61</v>
      </c>
      <c r="R558" s="8" t="s">
        <v>62</v>
      </c>
      <c r="AB558" t="s">
        <v>1411</v>
      </c>
      <c r="AE558" s="8">
        <v>1</v>
      </c>
      <c r="AF558" s="8">
        <v>0</v>
      </c>
      <c r="AG558" s="8" t="s">
        <v>65</v>
      </c>
      <c r="AH558" s="8">
        <v>1</v>
      </c>
      <c r="AI558" s="8">
        <v>1</v>
      </c>
      <c r="AJ558" s="8">
        <v>1</v>
      </c>
      <c r="AK558" s="8">
        <v>1</v>
      </c>
      <c r="AR558" s="8">
        <v>2790</v>
      </c>
      <c r="AS558" s="8">
        <v>2070</v>
      </c>
      <c r="AT558">
        <v>1014586</v>
      </c>
      <c r="AU558" s="8" t="s">
        <v>66</v>
      </c>
      <c r="AW558" s="8">
        <v>0</v>
      </c>
    </row>
    <row r="559" spans="1:49" x14ac:dyDescent="0.25">
      <c r="A559" t="s">
        <v>1412</v>
      </c>
      <c r="C559" t="s">
        <v>1406</v>
      </c>
      <c r="D559">
        <v>25</v>
      </c>
      <c r="E559">
        <v>0</v>
      </c>
      <c r="F559" s="7">
        <v>21.26</v>
      </c>
      <c r="G559">
        <v>750</v>
      </c>
      <c r="J559" t="s">
        <v>1407</v>
      </c>
      <c r="K559" s="8">
        <v>1</v>
      </c>
      <c r="L559" s="8">
        <v>1</v>
      </c>
      <c r="M559" t="str">
        <f t="shared" si="8"/>
        <v>MDF Medium standard 25mm</v>
      </c>
      <c r="N559" s="8">
        <v>0</v>
      </c>
      <c r="O559" s="8">
        <v>1</v>
      </c>
      <c r="P559" s="8">
        <v>0</v>
      </c>
      <c r="Q559" s="8" t="s">
        <v>61</v>
      </c>
      <c r="R559" s="8" t="s">
        <v>62</v>
      </c>
      <c r="AB559" t="s">
        <v>1412</v>
      </c>
      <c r="AE559" s="8">
        <v>1</v>
      </c>
      <c r="AF559" s="8">
        <v>0</v>
      </c>
      <c r="AG559" s="8" t="s">
        <v>65</v>
      </c>
      <c r="AH559" s="8">
        <v>1</v>
      </c>
      <c r="AI559" s="8">
        <v>1</v>
      </c>
      <c r="AJ559" s="8">
        <v>1</v>
      </c>
      <c r="AK559" s="8">
        <v>1</v>
      </c>
      <c r="AR559" s="8">
        <v>2790</v>
      </c>
      <c r="AS559" s="8">
        <v>2070</v>
      </c>
      <c r="AT559">
        <v>1014591</v>
      </c>
      <c r="AU559" s="8" t="s">
        <v>66</v>
      </c>
      <c r="AW559" s="8">
        <v>0</v>
      </c>
    </row>
    <row r="560" spans="1:49" x14ac:dyDescent="0.25">
      <c r="A560" t="s">
        <v>1413</v>
      </c>
      <c r="C560" t="s">
        <v>1406</v>
      </c>
      <c r="D560">
        <v>30</v>
      </c>
      <c r="E560">
        <v>0</v>
      </c>
      <c r="F560" s="7">
        <v>25.25</v>
      </c>
      <c r="G560">
        <v>750</v>
      </c>
      <c r="J560" t="s">
        <v>1407</v>
      </c>
      <c r="K560" s="8">
        <v>1</v>
      </c>
      <c r="L560" s="8">
        <v>1</v>
      </c>
      <c r="M560" t="str">
        <f t="shared" si="8"/>
        <v>MDF Medium standard 30mm</v>
      </c>
      <c r="N560" s="8">
        <v>0</v>
      </c>
      <c r="O560" s="8">
        <v>1</v>
      </c>
      <c r="P560" s="8">
        <v>0</v>
      </c>
      <c r="Q560" s="8" t="s">
        <v>61</v>
      </c>
      <c r="R560" s="8" t="s">
        <v>62</v>
      </c>
      <c r="AB560" t="s">
        <v>1413</v>
      </c>
      <c r="AE560" s="8">
        <v>1</v>
      </c>
      <c r="AF560" s="8">
        <v>0</v>
      </c>
      <c r="AG560" s="8" t="s">
        <v>65</v>
      </c>
      <c r="AH560" s="8">
        <v>1</v>
      </c>
      <c r="AI560" s="8">
        <v>1</v>
      </c>
      <c r="AJ560" s="8">
        <v>1</v>
      </c>
      <c r="AK560" s="8">
        <v>1</v>
      </c>
      <c r="AR560" s="8">
        <v>2790</v>
      </c>
      <c r="AS560" s="8">
        <v>2070</v>
      </c>
      <c r="AT560">
        <v>1014587</v>
      </c>
      <c r="AU560" s="8" t="s">
        <v>66</v>
      </c>
      <c r="AW560" s="8">
        <v>0</v>
      </c>
    </row>
    <row r="561" spans="1:49" x14ac:dyDescent="0.25">
      <c r="A561" t="s">
        <v>1414</v>
      </c>
      <c r="C561" t="s">
        <v>1406</v>
      </c>
      <c r="D561">
        <v>38</v>
      </c>
      <c r="E561">
        <v>0</v>
      </c>
      <c r="F561" s="7"/>
      <c r="G561">
        <v>750</v>
      </c>
      <c r="J561" t="s">
        <v>1407</v>
      </c>
      <c r="K561" s="8">
        <v>1</v>
      </c>
      <c r="L561" s="8">
        <v>1</v>
      </c>
      <c r="M561" t="str">
        <f t="shared" si="8"/>
        <v>MDF Medium standard 38mm</v>
      </c>
      <c r="N561" s="8">
        <v>0</v>
      </c>
      <c r="O561" s="8">
        <v>1</v>
      </c>
      <c r="P561" s="8">
        <v>0</v>
      </c>
      <c r="Q561" s="8" t="s">
        <v>61</v>
      </c>
      <c r="R561" s="8" t="s">
        <v>62</v>
      </c>
      <c r="AB561" t="s">
        <v>1414</v>
      </c>
      <c r="AE561" s="8">
        <v>1</v>
      </c>
      <c r="AF561" s="8">
        <v>0</v>
      </c>
      <c r="AG561" s="8" t="s">
        <v>65</v>
      </c>
      <c r="AH561" s="8">
        <v>1</v>
      </c>
      <c r="AI561" s="8">
        <v>1</v>
      </c>
      <c r="AJ561" s="8">
        <v>1</v>
      </c>
      <c r="AK561" s="8">
        <v>1</v>
      </c>
      <c r="AR561" s="8">
        <v>2790</v>
      </c>
      <c r="AS561" s="8">
        <v>2070</v>
      </c>
      <c r="AU561" s="8" t="s">
        <v>66</v>
      </c>
      <c r="AW561" s="8">
        <v>0</v>
      </c>
    </row>
    <row r="562" spans="1:49" x14ac:dyDescent="0.25">
      <c r="A562" t="s">
        <v>1415</v>
      </c>
      <c r="C562" t="s">
        <v>1406</v>
      </c>
      <c r="D562">
        <v>40</v>
      </c>
      <c r="E562">
        <v>0</v>
      </c>
      <c r="F562" s="7">
        <v>46.18</v>
      </c>
      <c r="G562">
        <v>750</v>
      </c>
      <c r="J562" t="s">
        <v>1407</v>
      </c>
      <c r="K562" s="8">
        <v>1</v>
      </c>
      <c r="L562" s="8">
        <v>1</v>
      </c>
      <c r="M562" t="str">
        <f t="shared" si="8"/>
        <v>MDF Medium standard 40mm</v>
      </c>
      <c r="N562" s="8">
        <v>0</v>
      </c>
      <c r="O562" s="8">
        <v>1</v>
      </c>
      <c r="P562" s="8">
        <v>0</v>
      </c>
      <c r="Q562" s="8" t="s">
        <v>61</v>
      </c>
      <c r="R562" s="8" t="s">
        <v>62</v>
      </c>
      <c r="AB562" t="s">
        <v>1415</v>
      </c>
      <c r="AE562" s="8">
        <v>1</v>
      </c>
      <c r="AF562" s="8">
        <v>0</v>
      </c>
      <c r="AG562" s="8" t="s">
        <v>65</v>
      </c>
      <c r="AH562" s="8">
        <v>1</v>
      </c>
      <c r="AI562" s="8">
        <v>1</v>
      </c>
      <c r="AJ562" s="8">
        <v>1</v>
      </c>
      <c r="AK562" s="8">
        <v>1</v>
      </c>
      <c r="AR562" s="8">
        <v>2790</v>
      </c>
      <c r="AS562" s="8">
        <v>2070</v>
      </c>
      <c r="AT562">
        <v>1014590</v>
      </c>
      <c r="AU562" s="8" t="s">
        <v>66</v>
      </c>
      <c r="AW562" s="8">
        <v>0</v>
      </c>
    </row>
    <row r="563" spans="1:49" x14ac:dyDescent="0.25">
      <c r="A563" t="s">
        <v>1416</v>
      </c>
      <c r="C563" t="s">
        <v>1406</v>
      </c>
      <c r="D563">
        <v>5</v>
      </c>
      <c r="E563">
        <v>0</v>
      </c>
      <c r="F563" s="7">
        <v>6.11</v>
      </c>
      <c r="G563">
        <v>750</v>
      </c>
      <c r="J563" t="s">
        <v>1407</v>
      </c>
      <c r="K563" s="8">
        <v>1</v>
      </c>
      <c r="L563" s="8">
        <v>1</v>
      </c>
      <c r="M563" t="str">
        <f t="shared" si="8"/>
        <v>MDF Medium standard 5mm</v>
      </c>
      <c r="N563" s="8">
        <v>0</v>
      </c>
      <c r="O563" s="8">
        <v>1</v>
      </c>
      <c r="P563" s="8">
        <v>0</v>
      </c>
      <c r="Q563" s="8" t="s">
        <v>61</v>
      </c>
      <c r="R563" s="8" t="s">
        <v>62</v>
      </c>
      <c r="AB563" t="s">
        <v>1416</v>
      </c>
      <c r="AE563" s="8">
        <v>1</v>
      </c>
      <c r="AF563" s="8">
        <v>0</v>
      </c>
      <c r="AG563" s="8" t="s">
        <v>65</v>
      </c>
      <c r="AH563" s="8">
        <v>1</v>
      </c>
      <c r="AI563" s="8">
        <v>1</v>
      </c>
      <c r="AJ563" s="8">
        <v>1</v>
      </c>
      <c r="AK563" s="8">
        <v>1</v>
      </c>
      <c r="AR563" s="8">
        <v>2790</v>
      </c>
      <c r="AS563" s="8">
        <v>2070</v>
      </c>
      <c r="AT563">
        <v>1761236</v>
      </c>
      <c r="AU563" s="8" t="s">
        <v>66</v>
      </c>
      <c r="AW563" s="8">
        <v>0</v>
      </c>
    </row>
  </sheetData>
  <mergeCells count="2">
    <mergeCell ref="E1:F1"/>
    <mergeCell ref="G1:P1"/>
  </mergeCells>
  <pageMargins left="0.7" right="0.7" top="0.75" bottom="0.75" header="0.3" footer="0.3"/>
  <pageSetup paperSize="9" orientation="portrait" horizontalDpi="4294967295" verticalDpi="429496729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openDialogXML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enDialogXML">
                <anchor moveWithCells="1" sizeWithCells="1">
                  <from>
                    <xdr:col>16</xdr:col>
                    <xdr:colOff>28575</xdr:colOff>
                    <xdr:row>0</xdr:row>
                    <xdr:rowOff>38100</xdr:rowOff>
                  </from>
                  <to>
                    <xdr:col>16</xdr:col>
                    <xdr:colOff>561975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TextToFile">
                <anchor moveWithCells="1" sizeWithCells="1">
                  <from>
                    <xdr:col>16</xdr:col>
                    <xdr:colOff>752475</xdr:colOff>
                    <xdr:row>0</xdr:row>
                    <xdr:rowOff>38100</xdr:rowOff>
                  </from>
                  <to>
                    <xdr:col>17</xdr:col>
                    <xdr:colOff>1343025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7"/>
  <sheetViews>
    <sheetView workbookViewId="0">
      <selection activeCell="A8" sqref="A8"/>
    </sheetView>
  </sheetViews>
  <sheetFormatPr baseColWidth="10" defaultColWidth="8.7109375" defaultRowHeight="15" x14ac:dyDescent="0.25"/>
  <cols>
    <col min="1" max="1" width="24.42578125" bestFit="1" customWidth="1"/>
    <col min="2" max="2" width="3" bestFit="1" customWidth="1"/>
    <col min="3" max="3" width="11.85546875" bestFit="1" customWidth="1"/>
    <col min="4" max="4" width="5" bestFit="1" customWidth="1"/>
    <col min="5" max="5" width="4.85546875" bestFit="1" customWidth="1"/>
    <col min="6" max="6" width="10.7109375" bestFit="1" customWidth="1"/>
    <col min="7" max="7" width="9.5703125" bestFit="1" customWidth="1"/>
    <col min="8" max="8" width="8" bestFit="1" customWidth="1"/>
    <col min="9" max="9" width="18.5703125" bestFit="1" customWidth="1"/>
    <col min="10" max="10" width="13.7109375" bestFit="1" customWidth="1"/>
    <col min="11" max="11" width="11.28515625" bestFit="1" customWidth="1"/>
    <col min="12" max="12" width="10.140625" bestFit="1" customWidth="1"/>
    <col min="13" max="13" width="10.42578125" bestFit="1" customWidth="1"/>
    <col min="14" max="14" width="6.5703125" bestFit="1" customWidth="1"/>
    <col min="15" max="15" width="19.140625" bestFit="1" customWidth="1"/>
    <col min="16" max="16" width="8.28515625" bestFit="1" customWidth="1"/>
    <col min="17" max="17" width="11.5703125" bestFit="1" customWidth="1"/>
    <col min="18" max="18" width="12.42578125" bestFit="1" customWidth="1"/>
    <col min="19" max="19" width="13.85546875" bestFit="1" customWidth="1"/>
    <col min="20" max="20" width="20" bestFit="1" customWidth="1"/>
    <col min="21" max="21" width="10.28515625" bestFit="1" customWidth="1"/>
    <col min="22" max="22" width="10.28515625" customWidth="1"/>
    <col min="23" max="23" width="11.140625" bestFit="1" customWidth="1"/>
  </cols>
  <sheetData>
    <row r="1" spans="1:24" x14ac:dyDescent="0.25">
      <c r="A1" s="6" t="s">
        <v>0</v>
      </c>
    </row>
    <row r="2" spans="1:24" x14ac:dyDescent="0.25">
      <c r="A2" s="6" t="s">
        <v>1417</v>
      </c>
    </row>
    <row r="3" spans="1:24" x14ac:dyDescent="0.25">
      <c r="A3" s="1"/>
      <c r="T3" s="1"/>
      <c r="U3" s="1" t="s">
        <v>8</v>
      </c>
      <c r="V3" s="1" t="s">
        <v>9</v>
      </c>
      <c r="W3" s="1" t="s">
        <v>10</v>
      </c>
      <c r="X3" s="1"/>
    </row>
    <row r="4" spans="1:24" x14ac:dyDescent="0.25">
      <c r="A4" s="4" t="s">
        <v>11</v>
      </c>
      <c r="B4" s="2" t="s">
        <v>1418</v>
      </c>
      <c r="C4" s="2" t="s">
        <v>12</v>
      </c>
      <c r="D4" s="2" t="s">
        <v>13</v>
      </c>
      <c r="E4" s="2" t="s">
        <v>16</v>
      </c>
      <c r="F4" s="2" t="s">
        <v>1419</v>
      </c>
      <c r="G4" s="2" t="s">
        <v>14</v>
      </c>
      <c r="H4" s="4" t="s">
        <v>18</v>
      </c>
      <c r="I4" s="2" t="s">
        <v>1420</v>
      </c>
      <c r="J4" s="2" t="s">
        <v>1421</v>
      </c>
      <c r="K4" s="2" t="s">
        <v>50</v>
      </c>
      <c r="L4" s="2" t="s">
        <v>1422</v>
      </c>
      <c r="M4" s="2" t="s">
        <v>1423</v>
      </c>
      <c r="N4" s="2" t="s">
        <v>1424</v>
      </c>
      <c r="O4" s="4" t="s">
        <v>1425</v>
      </c>
      <c r="P4" s="2" t="s">
        <v>1426</v>
      </c>
      <c r="Q4" s="2" t="s">
        <v>1427</v>
      </c>
      <c r="R4" s="2" t="s">
        <v>1428</v>
      </c>
      <c r="S4" s="2" t="s">
        <v>1429</v>
      </c>
      <c r="T4" s="2" t="s">
        <v>1430</v>
      </c>
      <c r="U4" s="2" t="s">
        <v>1431</v>
      </c>
      <c r="V4" s="2" t="s">
        <v>55</v>
      </c>
      <c r="W4" s="4" t="s">
        <v>1432</v>
      </c>
    </row>
    <row r="5" spans="1:24" x14ac:dyDescent="0.25">
      <c r="A5" s="8" t="s">
        <v>1433</v>
      </c>
      <c r="B5" s="8">
        <v>13</v>
      </c>
      <c r="C5" s="8"/>
      <c r="D5" s="8"/>
      <c r="E5" s="8">
        <v>2</v>
      </c>
      <c r="F5" s="8"/>
      <c r="G5" s="8">
        <v>10</v>
      </c>
      <c r="H5" s="8" t="s">
        <v>1434</v>
      </c>
      <c r="I5" s="8"/>
      <c r="J5" s="8">
        <v>1</v>
      </c>
      <c r="K5" s="8">
        <v>0</v>
      </c>
      <c r="L5" s="8">
        <v>15</v>
      </c>
      <c r="M5" s="8">
        <v>20</v>
      </c>
      <c r="N5" s="8">
        <v>0</v>
      </c>
      <c r="O5" s="8">
        <v>0</v>
      </c>
      <c r="P5" s="8">
        <v>-1</v>
      </c>
      <c r="Q5" s="8">
        <v>-1</v>
      </c>
      <c r="R5" s="8">
        <v>1</v>
      </c>
      <c r="S5" s="8">
        <v>1</v>
      </c>
      <c r="T5" s="8">
        <v>-1</v>
      </c>
      <c r="U5" s="8">
        <v>0</v>
      </c>
      <c r="V5" s="8">
        <v>0</v>
      </c>
      <c r="W5" s="8" t="s">
        <v>1435</v>
      </c>
    </row>
    <row r="6" spans="1:24" x14ac:dyDescent="0.25">
      <c r="A6" s="8" t="s">
        <v>1436</v>
      </c>
      <c r="B6" s="8">
        <v>12</v>
      </c>
      <c r="C6" s="8" t="s">
        <v>1437</v>
      </c>
      <c r="D6" s="8"/>
      <c r="E6" s="8">
        <v>2</v>
      </c>
      <c r="F6" s="8" t="s">
        <v>1438</v>
      </c>
      <c r="G6" s="8">
        <v>10</v>
      </c>
      <c r="H6" s="8" t="s">
        <v>1439</v>
      </c>
      <c r="I6" s="8" t="s">
        <v>1440</v>
      </c>
      <c r="J6" s="8">
        <v>-1</v>
      </c>
      <c r="K6" s="8">
        <v>3.0000000000000001E-3</v>
      </c>
      <c r="L6" s="8">
        <v>15</v>
      </c>
      <c r="M6" s="8">
        <v>20</v>
      </c>
      <c r="N6" s="8">
        <v>0</v>
      </c>
      <c r="O6" s="8">
        <v>1</v>
      </c>
      <c r="P6" s="8">
        <v>3</v>
      </c>
      <c r="Q6" s="8">
        <v>1</v>
      </c>
      <c r="R6" s="8">
        <v>0</v>
      </c>
      <c r="S6" s="8">
        <v>1</v>
      </c>
      <c r="T6" s="8">
        <v>1</v>
      </c>
      <c r="U6" s="8">
        <v>1</v>
      </c>
      <c r="V6" s="8">
        <v>0</v>
      </c>
      <c r="W6" s="8" t="s">
        <v>1441</v>
      </c>
    </row>
    <row r="7" spans="1:24" x14ac:dyDescent="0.25">
      <c r="A7" s="8" t="s">
        <v>1442</v>
      </c>
      <c r="B7" s="8">
        <v>11</v>
      </c>
      <c r="C7" s="8"/>
      <c r="D7" s="8"/>
      <c r="E7" s="8">
        <v>2</v>
      </c>
      <c r="F7" s="8"/>
      <c r="G7" s="8">
        <v>10</v>
      </c>
      <c r="H7" s="8" t="s">
        <v>1439</v>
      </c>
      <c r="I7" s="8"/>
      <c r="J7" s="8">
        <v>0</v>
      </c>
      <c r="K7" s="8">
        <v>0</v>
      </c>
      <c r="L7" s="8">
        <v>15</v>
      </c>
      <c r="M7" s="8">
        <v>20</v>
      </c>
      <c r="N7" s="8">
        <v>0</v>
      </c>
      <c r="O7" s="8">
        <v>0</v>
      </c>
      <c r="P7" s="8">
        <v>-1</v>
      </c>
      <c r="Q7" s="8">
        <v>-1</v>
      </c>
      <c r="R7" s="8">
        <v>0</v>
      </c>
      <c r="S7" s="8">
        <v>1</v>
      </c>
      <c r="T7" s="8">
        <v>-1</v>
      </c>
      <c r="U7" s="8">
        <v>0</v>
      </c>
      <c r="V7" s="8">
        <v>1</v>
      </c>
      <c r="W7" s="8" t="s">
        <v>1443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Materials</vt:lpstr>
      <vt:lpstr>EdgeBands</vt:lpstr>
      <vt:lpstr>XML_TP_FULLPATH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Florent Destribois</cp:lastModifiedBy>
  <dcterms:created xsi:type="dcterms:W3CDTF">2021-05-04T08:25:14Z</dcterms:created>
  <dcterms:modified xsi:type="dcterms:W3CDTF">2026-02-10T15:54:45Z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0x010100C8D285C0734AC14B9E8AEA18956FED50</vt:lpwstr>
  </property>
  <property fmtid="{D5CDD505-2E9C-101B-9397-08002B2CF9AE}" pid="3" name="MediaServiceImageTags">
    <vt:lpwstr/>
  </property>
</Properties>
</file>